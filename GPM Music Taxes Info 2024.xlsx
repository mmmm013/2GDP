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putnamcole/Downloads/"/>
    </mc:Choice>
  </mc:AlternateContent>
  <xr:revisionPtr revIDLastSave="0" documentId="8_{C2F4A663-E318-0148-AAC1-8B4758C7880A}" xr6:coauthVersionLast="47" xr6:coauthVersionMax="47" xr10:uidLastSave="{00000000-0000-0000-0000-000000000000}"/>
  <bookViews>
    <workbookView xWindow="0" yWindow="0" windowWidth="20740" windowHeight="11040" xr2:uid="{CBAD1891-2508-4446-96D3-AD19A02750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2" i="1" l="1"/>
  <c r="E302" i="1"/>
  <c r="H302" i="1" s="1"/>
  <c r="F299" i="1"/>
  <c r="F288" i="1"/>
  <c r="F272" i="1"/>
  <c r="F259" i="1"/>
  <c r="F252" i="1"/>
  <c r="F231" i="1"/>
  <c r="F229" i="1"/>
  <c r="F225" i="1"/>
  <c r="F223" i="1"/>
  <c r="F183" i="1"/>
  <c r="F174" i="1"/>
  <c r="F161" i="1"/>
  <c r="F155" i="1"/>
  <c r="F151" i="1"/>
  <c r="F148" i="1"/>
  <c r="F137" i="1"/>
  <c r="F133" i="1"/>
  <c r="F122" i="1"/>
  <c r="F116" i="1"/>
  <c r="F105" i="1"/>
  <c r="F96" i="1"/>
  <c r="F89" i="1"/>
  <c r="F83" i="1"/>
  <c r="F80" i="1"/>
  <c r="F70" i="1"/>
  <c r="F63" i="1"/>
  <c r="F58" i="1"/>
  <c r="F6" i="1"/>
</calcChain>
</file>

<file path=xl/sharedStrings.xml><?xml version="1.0" encoding="utf-8"?>
<sst xmlns="http://schemas.openxmlformats.org/spreadsheetml/2006/main" count="807" uniqueCount="284">
  <si>
    <t>10.30.24</t>
  </si>
  <si>
    <t>9.03.24</t>
  </si>
  <si>
    <t>10.02.24</t>
  </si>
  <si>
    <t>10.15.24</t>
  </si>
  <si>
    <t>11.04.24</t>
  </si>
  <si>
    <t>12.23.24</t>
  </si>
  <si>
    <t>3.18.24</t>
  </si>
  <si>
    <t>appentr.com</t>
  </si>
  <si>
    <t>3.22.24</t>
  </si>
  <si>
    <t>4.18.24</t>
  </si>
  <si>
    <t>4.22.24</t>
  </si>
  <si>
    <t>6.20.24</t>
  </si>
  <si>
    <t>8.19.24</t>
  </si>
  <si>
    <t>10.03.24</t>
  </si>
  <si>
    <t>apple</t>
  </si>
  <si>
    <t>7.17.24</t>
  </si>
  <si>
    <t>apple  card bank payment</t>
  </si>
  <si>
    <t>1.12.24</t>
  </si>
  <si>
    <t>apple card</t>
  </si>
  <si>
    <t>5.15.24</t>
  </si>
  <si>
    <t>apple.com</t>
  </si>
  <si>
    <t>1.11.24</t>
  </si>
  <si>
    <t>Apple.com bill</t>
  </si>
  <si>
    <t>1.16.24</t>
  </si>
  <si>
    <t>1.22.24</t>
  </si>
  <si>
    <t>1.30.24</t>
  </si>
  <si>
    <t>1.31.24</t>
  </si>
  <si>
    <t>2.07.24</t>
  </si>
  <si>
    <t>2.09.24</t>
  </si>
  <si>
    <t>2.12.24</t>
  </si>
  <si>
    <t>2.20.24</t>
  </si>
  <si>
    <t>2.23.24</t>
  </si>
  <si>
    <t>3.05.24</t>
  </si>
  <si>
    <t>3.11.24</t>
  </si>
  <si>
    <t>4.03.24</t>
  </si>
  <si>
    <t>4.26.24</t>
  </si>
  <si>
    <t>4.29.24</t>
  </si>
  <si>
    <t>5.06.24</t>
  </si>
  <si>
    <t>5.13.24</t>
  </si>
  <si>
    <t>5.21.24</t>
  </si>
  <si>
    <t>5.22.24</t>
  </si>
  <si>
    <t>5.30.24</t>
  </si>
  <si>
    <t>apple.com.bill</t>
  </si>
  <si>
    <t>5.31.24</t>
  </si>
  <si>
    <t>6.17.24</t>
  </si>
  <si>
    <t>6.24.24</t>
  </si>
  <si>
    <t>5.09.24</t>
  </si>
  <si>
    <t>apple.combill</t>
  </si>
  <si>
    <t>1.24.24</t>
  </si>
  <si>
    <t>applecard</t>
  </si>
  <si>
    <t>10.28.24</t>
  </si>
  <si>
    <t>7.02.24</t>
  </si>
  <si>
    <t>applecard bank payment</t>
  </si>
  <si>
    <t>applecard gsbank</t>
  </si>
  <si>
    <t>applecard payment</t>
  </si>
  <si>
    <t>12.02.24</t>
  </si>
  <si>
    <t>12.24.24</t>
  </si>
  <si>
    <t>1.05.24</t>
  </si>
  <si>
    <t>awpstudiosn</t>
  </si>
  <si>
    <t>2.05.24</t>
  </si>
  <si>
    <t>4.05.24</t>
  </si>
  <si>
    <t>9.05.24</t>
  </si>
  <si>
    <t>7.03.24</t>
  </si>
  <si>
    <t>bank</t>
  </si>
  <si>
    <t>6.06.24</t>
  </si>
  <si>
    <t>bank fee</t>
  </si>
  <si>
    <t>8.30.24</t>
  </si>
  <si>
    <t>9.17.24</t>
  </si>
  <si>
    <t>4.15.24</t>
  </si>
  <si>
    <t>bank fees</t>
  </si>
  <si>
    <t>2.01.24</t>
  </si>
  <si>
    <t>bass intass normal</t>
  </si>
  <si>
    <t>1.03.24</t>
  </si>
  <si>
    <t>beenverified</t>
  </si>
  <si>
    <t>3.08.24</t>
  </si>
  <si>
    <t>5.03.24</t>
  </si>
  <si>
    <t>6.03.24</t>
  </si>
  <si>
    <t>7.15.24</t>
  </si>
  <si>
    <t>8.05.24</t>
  </si>
  <si>
    <t>11.25.24</t>
  </si>
  <si>
    <t>bk ice decatur</t>
  </si>
  <si>
    <t>11.05.24</t>
  </si>
  <si>
    <t>brianna shelko</t>
  </si>
  <si>
    <t>11.06.24</t>
  </si>
  <si>
    <t>5.20.24</t>
  </si>
  <si>
    <t>bridge.audio.com</t>
  </si>
  <si>
    <t>12.19.24</t>
  </si>
  <si>
    <t>cava</t>
  </si>
  <si>
    <t>4.08.24</t>
  </si>
  <si>
    <t xml:space="preserve">clay michael smus </t>
  </si>
  <si>
    <t>9.24.24</t>
  </si>
  <si>
    <t>clayton gunn</t>
  </si>
  <si>
    <t>10.29.24</t>
  </si>
  <si>
    <t>culofst.one</t>
  </si>
  <si>
    <t>culofsta.one</t>
  </si>
  <si>
    <t>8.26.24</t>
  </si>
  <si>
    <t>culofstat.one</t>
  </si>
  <si>
    <t>9.13.24</t>
  </si>
  <si>
    <t>dailykos</t>
  </si>
  <si>
    <t>1.09.24</t>
  </si>
  <si>
    <t xml:space="preserve">DISCO DISCO </t>
  </si>
  <si>
    <t>4.09.24</t>
  </si>
  <si>
    <t>10.16.24</t>
  </si>
  <si>
    <t>discover</t>
  </si>
  <si>
    <t>2.02.24</t>
  </si>
  <si>
    <t>3.04.24</t>
  </si>
  <si>
    <t>4.02.24</t>
  </si>
  <si>
    <t>5.02.24</t>
  </si>
  <si>
    <t>7.19.24</t>
  </si>
  <si>
    <t xml:space="preserve">discover </t>
  </si>
  <si>
    <t>discover epayment</t>
  </si>
  <si>
    <t>12.30.24</t>
  </si>
  <si>
    <t>discover payment</t>
  </si>
  <si>
    <t>dotcomprod dot</t>
  </si>
  <si>
    <t>dri avid technoloby</t>
  </si>
  <si>
    <t>drop track</t>
  </si>
  <si>
    <t>2.06.24</t>
  </si>
  <si>
    <t>epkbuilder.com</t>
  </si>
  <si>
    <t>fatehabegum</t>
  </si>
  <si>
    <t>fuboTV</t>
  </si>
  <si>
    <t>godaddy</t>
  </si>
  <si>
    <t>1.02.24</t>
  </si>
  <si>
    <t>4.16.24</t>
  </si>
  <si>
    <t>10.31.24</t>
  </si>
  <si>
    <t>google adds</t>
  </si>
  <si>
    <t>google ads</t>
  </si>
  <si>
    <t>google primetime</t>
  </si>
  <si>
    <t>2.16.24</t>
  </si>
  <si>
    <t>3.13.24</t>
  </si>
  <si>
    <t>5.14.24</t>
  </si>
  <si>
    <t>8.14.24</t>
  </si>
  <si>
    <t>9.16.24</t>
  </si>
  <si>
    <t>11.14.24</t>
  </si>
  <si>
    <t>12.16.24</t>
  </si>
  <si>
    <t>grand northern Manchester GB</t>
  </si>
  <si>
    <t>3.19.24</t>
  </si>
  <si>
    <t>groover.com paris</t>
  </si>
  <si>
    <t>4.04.24</t>
  </si>
  <si>
    <t>11.01.24</t>
  </si>
  <si>
    <t>gs bank payment</t>
  </si>
  <si>
    <t>12.20.24</t>
  </si>
  <si>
    <t>homedepot</t>
  </si>
  <si>
    <t>9.30.24</t>
  </si>
  <si>
    <t>imkey resume.io</t>
  </si>
  <si>
    <t xml:space="preserve">ISO Chicago </t>
  </si>
  <si>
    <t>2.15.24</t>
  </si>
  <si>
    <t>James Bass law</t>
  </si>
  <si>
    <t>jenna burnett</t>
  </si>
  <si>
    <t>11.21.24</t>
  </si>
  <si>
    <t>10.24.24</t>
  </si>
  <si>
    <t>john lennon</t>
  </si>
  <si>
    <t>krista galvins</t>
  </si>
  <si>
    <t>linkedin</t>
  </si>
  <si>
    <t>8.21.24</t>
  </si>
  <si>
    <t>10.18.24</t>
  </si>
  <si>
    <t>11.18.24</t>
  </si>
  <si>
    <t>linkedinpre</t>
  </si>
  <si>
    <t>12.17.24</t>
  </si>
  <si>
    <t>2.22.24</t>
  </si>
  <si>
    <t>lloyd Miller</t>
  </si>
  <si>
    <t>mailerlite</t>
  </si>
  <si>
    <t>8.15.24</t>
  </si>
  <si>
    <t>9.20.24</t>
  </si>
  <si>
    <t>marty pets</t>
  </si>
  <si>
    <t>masterwriter</t>
  </si>
  <si>
    <t>mayyka limited</t>
  </si>
  <si>
    <t>micco www.themicco.ca</t>
  </si>
  <si>
    <t>Michael Schere</t>
  </si>
  <si>
    <t>1.04.24</t>
  </si>
  <si>
    <t>2.08.24</t>
  </si>
  <si>
    <t>5.17.24</t>
  </si>
  <si>
    <t>6.21.24</t>
  </si>
  <si>
    <t>7.11.24</t>
  </si>
  <si>
    <t>7.18.24</t>
  </si>
  <si>
    <t>8.16.24</t>
  </si>
  <si>
    <t>8.20.24</t>
  </si>
  <si>
    <t>8.28.24</t>
  </si>
  <si>
    <t>9.19.24</t>
  </si>
  <si>
    <t>9.23.24</t>
  </si>
  <si>
    <t>10.17.24</t>
  </si>
  <si>
    <t>3.21.24</t>
  </si>
  <si>
    <t>Mick Fury</t>
  </si>
  <si>
    <t>mint mobile</t>
  </si>
  <si>
    <t>5.07.24</t>
  </si>
  <si>
    <t>6.26.24</t>
  </si>
  <si>
    <t>modernbeats</t>
  </si>
  <si>
    <t>9.27.24</t>
  </si>
  <si>
    <t>normal hh group</t>
  </si>
  <si>
    <t>nytimes disc</t>
  </si>
  <si>
    <t>5.10.24</t>
  </si>
  <si>
    <t>pai iso chicago</t>
  </si>
  <si>
    <t>pantagraph</t>
  </si>
  <si>
    <t>paypal</t>
  </si>
  <si>
    <t>12.04.24</t>
  </si>
  <si>
    <t>paypal cava</t>
  </si>
  <si>
    <t>paypal info</t>
  </si>
  <si>
    <t>12.05.24</t>
  </si>
  <si>
    <t>paypal inst efer</t>
  </si>
  <si>
    <t>7.01.24</t>
  </si>
  <si>
    <t>paypal masuddenterp</t>
  </si>
  <si>
    <t>10.07.24</t>
  </si>
  <si>
    <t>paypal transfer</t>
  </si>
  <si>
    <t>7.16.24</t>
  </si>
  <si>
    <t xml:space="preserve">Paypal </t>
  </si>
  <si>
    <t>10.23.24</t>
  </si>
  <si>
    <t>pdfsimpli.com</t>
  </si>
  <si>
    <t>4.17.24</t>
  </si>
  <si>
    <t>6.28.24</t>
  </si>
  <si>
    <t>8.23.24</t>
  </si>
  <si>
    <t>8.27.24</t>
  </si>
  <si>
    <t>Remora Holdings</t>
  </si>
  <si>
    <t>rocket law</t>
  </si>
  <si>
    <t>Samie Tetrening</t>
  </si>
  <si>
    <t>Secretary of State</t>
  </si>
  <si>
    <t>1.08.24</t>
  </si>
  <si>
    <t>songbay</t>
  </si>
  <si>
    <t>3.07.24</t>
  </si>
  <si>
    <t>9.09.24</t>
  </si>
  <si>
    <t>11.07.24</t>
  </si>
  <si>
    <t>12.09.24</t>
  </si>
  <si>
    <t>songtrust</t>
  </si>
  <si>
    <t>spotify</t>
  </si>
  <si>
    <t>7.12.24</t>
  </si>
  <si>
    <t>8.02.24</t>
  </si>
  <si>
    <t>8.12.24</t>
  </si>
  <si>
    <t xml:space="preserve">sync list </t>
  </si>
  <si>
    <t>tunecore</t>
  </si>
  <si>
    <t>us Treasury</t>
  </si>
  <si>
    <t>2.14.24</t>
  </si>
  <si>
    <t>Wetransfer amsterdam nl</t>
  </si>
  <si>
    <t>11.12.24</t>
  </si>
  <si>
    <t>youtube videos</t>
  </si>
  <si>
    <t>youtubepremium.com</t>
  </si>
  <si>
    <t>5.28.24</t>
  </si>
  <si>
    <t>7.30.24</t>
  </si>
  <si>
    <t>10.22.24</t>
  </si>
  <si>
    <t>zach glucksman</t>
  </si>
  <si>
    <t>Disney</t>
  </si>
  <si>
    <t>Max (sync work for research, reference, and networking</t>
  </si>
  <si>
    <t>One Drive</t>
  </si>
  <si>
    <t>Drop Box and Cloud Storage</t>
  </si>
  <si>
    <t>One Drive (Personal) but for GPM</t>
  </si>
  <si>
    <t>Apple TV</t>
  </si>
  <si>
    <t>iCloud</t>
  </si>
  <si>
    <t>Apple One</t>
  </si>
  <si>
    <t>Hulu</t>
  </si>
  <si>
    <t>Max (see above)</t>
  </si>
  <si>
    <t>Drop Box Cloud Storage</t>
  </si>
  <si>
    <t>One Drive (Personal)</t>
  </si>
  <si>
    <t>Hulu (2x in February)</t>
  </si>
  <si>
    <t>Apple One Promo</t>
  </si>
  <si>
    <t>Linked In</t>
  </si>
  <si>
    <t>Disney/Hulu</t>
  </si>
  <si>
    <t>Dropbox Storage</t>
  </si>
  <si>
    <t>Dropbox and One Drive</t>
  </si>
  <si>
    <t>Hulu (subtract 3.99 for movie)</t>
  </si>
  <si>
    <t>Authenticator App</t>
  </si>
  <si>
    <t>Disney (subtract 3.99 for movie)</t>
  </si>
  <si>
    <t>One Drive (Renewal)</t>
  </si>
  <si>
    <t>Drop Box</t>
  </si>
  <si>
    <t>Nashville Studio</t>
  </si>
  <si>
    <t>Business law</t>
  </si>
  <si>
    <t>Vocalist "I Live Free"</t>
  </si>
  <si>
    <t>Songs</t>
  </si>
  <si>
    <t>Canva for covers, epk, etc.</t>
  </si>
  <si>
    <t>Michael Clay</t>
  </si>
  <si>
    <t>Ad service</t>
  </si>
  <si>
    <t>Song center</t>
  </si>
  <si>
    <t>Music distribution service</t>
  </si>
  <si>
    <t xml:space="preserve">Music </t>
  </si>
  <si>
    <t>Sound Cloud</t>
  </si>
  <si>
    <t>Watch shows for music</t>
  </si>
  <si>
    <t>Web for GPM</t>
  </si>
  <si>
    <t>GPM</t>
  </si>
  <si>
    <t>Music</t>
  </si>
  <si>
    <t>GPM business legal</t>
  </si>
  <si>
    <t>Advertising</t>
  </si>
  <si>
    <t>Composer</t>
  </si>
  <si>
    <t>Emailer for Song Brief</t>
  </si>
  <si>
    <t>Office</t>
  </si>
  <si>
    <t>Phone</t>
  </si>
  <si>
    <t>Sync Summit</t>
  </si>
  <si>
    <t>Biz</t>
  </si>
  <si>
    <t>What Up Pitches-Biz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</si>
</sst>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0" fontId="2" fillId="0" borderId="0" xfId="0" applyFont="1"/>
    <xf numFmtId="43" fontId="1" fillId="0" borderId="0" xfId="0" applyNumberFormat="1" applyFont="1"/>
    <xf numFmtId="43" fontId="3" fillId="0" borderId="0" xfId="0" applyNumberFormat="1" applyFont="1"/>
    <xf numFmtId="0" fontId="1" fillId="0" borderId="0" xfId="0" applyFont="1"/>
    <xf numFmtId="0" fontId="3" fillId="0" borderId="0" xfId="0" applyFont="1"/>
    <xf numFmtId="16" fontId="1" fillId="0" borderId="0" xfId="0" applyNumberFormat="1" applyFont="1"/>
    <xf numFmtId="4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1D62-DBA6-4919-829A-29A3AB2C56A9}">
  <dimension ref="A1:H302"/>
  <sheetViews>
    <sheetView tabSelected="1" workbookViewId="0">
      <selection activeCell="G300" sqref="G300"/>
    </sheetView>
  </sheetViews>
  <sheetFormatPr baseColWidth="10" defaultColWidth="8.83203125" defaultRowHeight="15" x14ac:dyDescent="0.2"/>
  <cols>
    <col min="3" max="3" width="26.5" customWidth="1"/>
    <col min="4" max="4" width="20.83203125" customWidth="1"/>
    <col min="6" max="6" width="10.5" bestFit="1" customWidth="1"/>
  </cols>
  <sheetData>
    <row r="1" spans="1:7" x14ac:dyDescent="0.2">
      <c r="A1" s="1" t="s">
        <v>6</v>
      </c>
      <c r="C1" s="2" t="s">
        <v>7</v>
      </c>
      <c r="D1" s="3"/>
      <c r="E1" s="3">
        <v>39.950000000000003</v>
      </c>
      <c r="F1" s="3"/>
    </row>
    <row r="2" spans="1:7" x14ac:dyDescent="0.2">
      <c r="A2" s="1" t="s">
        <v>8</v>
      </c>
      <c r="C2" s="2" t="s">
        <v>7</v>
      </c>
      <c r="D2" s="3"/>
      <c r="E2" s="3">
        <v>4.95</v>
      </c>
      <c r="F2" s="3"/>
    </row>
    <row r="3" spans="1:7" x14ac:dyDescent="0.2">
      <c r="A3" s="1" t="s">
        <v>9</v>
      </c>
      <c r="C3" s="2" t="s">
        <v>7</v>
      </c>
      <c r="D3" s="3"/>
      <c r="E3" s="3">
        <v>39.950000000000003</v>
      </c>
      <c r="F3" s="3"/>
    </row>
    <row r="4" spans="1:7" x14ac:dyDescent="0.2">
      <c r="A4" s="1" t="s">
        <v>10</v>
      </c>
      <c r="C4" s="2" t="s">
        <v>7</v>
      </c>
      <c r="D4" s="3"/>
      <c r="E4" s="3">
        <v>4.95</v>
      </c>
      <c r="F4" s="3"/>
    </row>
    <row r="5" spans="1:7" x14ac:dyDescent="0.2">
      <c r="A5" s="1" t="s">
        <v>11</v>
      </c>
      <c r="C5" s="2" t="s">
        <v>7</v>
      </c>
      <c r="D5" s="3"/>
      <c r="E5" s="3">
        <v>4.95</v>
      </c>
      <c r="F5" s="3"/>
    </row>
    <row r="6" spans="1:7" x14ac:dyDescent="0.2">
      <c r="A6" s="1" t="s">
        <v>12</v>
      </c>
      <c r="C6" s="2" t="s">
        <v>7</v>
      </c>
      <c r="D6" s="3"/>
      <c r="E6" s="3">
        <v>4.95</v>
      </c>
      <c r="F6" s="3">
        <f>SUM(E1:E6)</f>
        <v>99.700000000000017</v>
      </c>
    </row>
    <row r="7" spans="1:7" x14ac:dyDescent="0.2">
      <c r="A7" s="1" t="s">
        <v>13</v>
      </c>
      <c r="C7" s="2" t="s">
        <v>14</v>
      </c>
      <c r="D7" s="3"/>
      <c r="E7" s="3">
        <v>297.83999999999997</v>
      </c>
      <c r="F7" s="4">
        <v>297.83999999999997</v>
      </c>
      <c r="G7" t="s">
        <v>237</v>
      </c>
    </row>
    <row r="8" spans="1:7" x14ac:dyDescent="0.2">
      <c r="A8" s="1" t="s">
        <v>15</v>
      </c>
      <c r="C8" s="2" t="s">
        <v>16</v>
      </c>
      <c r="D8" s="3"/>
      <c r="E8" s="3">
        <v>50</v>
      </c>
      <c r="F8" s="3"/>
    </row>
    <row r="9" spans="1:7" x14ac:dyDescent="0.2">
      <c r="A9" s="1" t="s">
        <v>17</v>
      </c>
      <c r="C9" s="2" t="s">
        <v>18</v>
      </c>
      <c r="D9" s="3"/>
      <c r="E9" s="3">
        <v>25</v>
      </c>
      <c r="F9" s="3"/>
      <c r="G9" t="s">
        <v>238</v>
      </c>
    </row>
    <row r="10" spans="1:7" x14ac:dyDescent="0.2">
      <c r="A10" s="1" t="s">
        <v>19</v>
      </c>
      <c r="C10" s="2" t="s">
        <v>20</v>
      </c>
      <c r="D10" s="3"/>
      <c r="E10" s="3">
        <v>7.6</v>
      </c>
      <c r="F10" s="3"/>
      <c r="G10" t="s">
        <v>239</v>
      </c>
    </row>
    <row r="11" spans="1:7" x14ac:dyDescent="0.2">
      <c r="A11" s="1" t="s">
        <v>21</v>
      </c>
      <c r="C11" s="2" t="s">
        <v>22</v>
      </c>
      <c r="D11" s="3"/>
      <c r="E11" s="3">
        <v>13.04</v>
      </c>
      <c r="F11" s="3"/>
      <c r="G11" t="s">
        <v>240</v>
      </c>
    </row>
    <row r="12" spans="1:7" x14ac:dyDescent="0.2">
      <c r="A12" s="1" t="s">
        <v>23</v>
      </c>
      <c r="C12" s="2" t="s">
        <v>22</v>
      </c>
      <c r="D12" s="3"/>
      <c r="E12" s="3">
        <v>7.6</v>
      </c>
      <c r="F12" s="3"/>
      <c r="G12" t="s">
        <v>241</v>
      </c>
    </row>
    <row r="13" spans="1:7" x14ac:dyDescent="0.2">
      <c r="A13" s="1" t="s">
        <v>24</v>
      </c>
      <c r="C13" s="2" t="s">
        <v>22</v>
      </c>
      <c r="D13" s="3"/>
      <c r="E13" s="3">
        <v>9.99</v>
      </c>
      <c r="F13" s="3"/>
      <c r="G13" t="s">
        <v>242</v>
      </c>
    </row>
    <row r="14" spans="1:7" x14ac:dyDescent="0.2">
      <c r="A14" s="1" t="s">
        <v>24</v>
      </c>
      <c r="C14" s="2" t="s">
        <v>22</v>
      </c>
      <c r="D14" s="3"/>
      <c r="E14" s="3">
        <v>12.99</v>
      </c>
      <c r="F14" s="3"/>
    </row>
    <row r="15" spans="1:7" x14ac:dyDescent="0.2">
      <c r="A15" s="1" t="s">
        <v>24</v>
      </c>
      <c r="C15" s="2" t="s">
        <v>22</v>
      </c>
      <c r="D15" s="3"/>
      <c r="E15" s="3">
        <v>9.99</v>
      </c>
      <c r="F15" s="3"/>
      <c r="G15" t="s">
        <v>243</v>
      </c>
    </row>
    <row r="16" spans="1:7" x14ac:dyDescent="0.2">
      <c r="A16" s="1" t="s">
        <v>25</v>
      </c>
      <c r="C16" s="2" t="s">
        <v>22</v>
      </c>
      <c r="D16" s="3"/>
      <c r="E16" s="3">
        <v>37.950000000000003</v>
      </c>
      <c r="F16" s="3"/>
      <c r="G16" t="s">
        <v>244</v>
      </c>
    </row>
    <row r="17" spans="1:7" x14ac:dyDescent="0.2">
      <c r="A17" s="1" t="s">
        <v>26</v>
      </c>
      <c r="C17" s="2" t="s">
        <v>22</v>
      </c>
      <c r="D17" s="3"/>
      <c r="E17" s="4">
        <v>-7.41</v>
      </c>
      <c r="F17" s="3"/>
    </row>
    <row r="18" spans="1:7" x14ac:dyDescent="0.2">
      <c r="A18" s="1" t="s">
        <v>26</v>
      </c>
      <c r="C18" s="2" t="s">
        <v>22</v>
      </c>
      <c r="D18" s="3"/>
      <c r="E18" s="4">
        <v>-9.64</v>
      </c>
      <c r="F18" s="3"/>
    </row>
    <row r="19" spans="1:7" x14ac:dyDescent="0.2">
      <c r="A19" s="1" t="s">
        <v>27</v>
      </c>
      <c r="C19" s="2" t="s">
        <v>22</v>
      </c>
      <c r="D19" s="3"/>
      <c r="E19" s="4">
        <v>-7.41</v>
      </c>
      <c r="F19" s="3"/>
    </row>
    <row r="20" spans="1:7" x14ac:dyDescent="0.2">
      <c r="A20" s="1" t="s">
        <v>28</v>
      </c>
      <c r="C20" s="2" t="s">
        <v>22</v>
      </c>
      <c r="D20" s="3"/>
      <c r="E20" s="3">
        <v>17.989999999999998</v>
      </c>
      <c r="F20" s="3"/>
      <c r="G20" t="s">
        <v>245</v>
      </c>
    </row>
    <row r="21" spans="1:7" x14ac:dyDescent="0.2">
      <c r="A21" s="1" t="s">
        <v>28</v>
      </c>
      <c r="C21" s="2" t="s">
        <v>22</v>
      </c>
      <c r="D21" s="3"/>
      <c r="E21" s="3">
        <v>3.99</v>
      </c>
      <c r="F21" s="3"/>
    </row>
    <row r="22" spans="1:7" x14ac:dyDescent="0.2">
      <c r="A22" s="1" t="s">
        <v>29</v>
      </c>
      <c r="C22" s="2" t="s">
        <v>22</v>
      </c>
      <c r="D22" s="3"/>
      <c r="E22" s="3">
        <v>149.99</v>
      </c>
      <c r="F22" s="3"/>
      <c r="G22" t="s">
        <v>246</v>
      </c>
    </row>
    <row r="23" spans="1:7" x14ac:dyDescent="0.2">
      <c r="A23" s="1" t="s">
        <v>29</v>
      </c>
      <c r="C23" s="2" t="s">
        <v>22</v>
      </c>
      <c r="D23" s="3"/>
      <c r="E23" s="3">
        <v>13.04</v>
      </c>
      <c r="F23" s="3"/>
      <c r="G23" t="s">
        <v>247</v>
      </c>
    </row>
    <row r="24" spans="1:7" x14ac:dyDescent="0.2">
      <c r="A24" s="1" t="s">
        <v>30</v>
      </c>
      <c r="C24" s="2" t="s">
        <v>22</v>
      </c>
      <c r="D24" s="3"/>
      <c r="E24" s="3">
        <v>7.6</v>
      </c>
      <c r="F24" s="3"/>
      <c r="G24" t="s">
        <v>248</v>
      </c>
    </row>
    <row r="25" spans="1:7" x14ac:dyDescent="0.2">
      <c r="A25" s="1" t="s">
        <v>31</v>
      </c>
      <c r="C25" s="2" t="s">
        <v>22</v>
      </c>
      <c r="D25" s="3"/>
      <c r="E25" s="3">
        <v>17.989999999999998</v>
      </c>
      <c r="F25" s="3"/>
      <c r="G25" t="s">
        <v>249</v>
      </c>
    </row>
    <row r="26" spans="1:7" x14ac:dyDescent="0.2">
      <c r="A26" s="1" t="s">
        <v>31</v>
      </c>
      <c r="C26" s="2" t="s">
        <v>22</v>
      </c>
      <c r="D26" s="3"/>
      <c r="E26" s="3">
        <v>3.99</v>
      </c>
      <c r="F26" s="3"/>
    </row>
    <row r="27" spans="1:7" x14ac:dyDescent="0.2">
      <c r="A27" s="1" t="s">
        <v>32</v>
      </c>
      <c r="C27" s="2" t="s">
        <v>22</v>
      </c>
      <c r="D27" s="3"/>
      <c r="E27" s="3">
        <v>37.950000000000003</v>
      </c>
      <c r="F27" s="3"/>
      <c r="G27" t="s">
        <v>250</v>
      </c>
    </row>
    <row r="28" spans="1:7" x14ac:dyDescent="0.2">
      <c r="A28" s="1" t="s">
        <v>33</v>
      </c>
      <c r="C28" s="2" t="s">
        <v>22</v>
      </c>
      <c r="D28" s="3"/>
      <c r="E28" s="3">
        <v>13.04</v>
      </c>
      <c r="F28" s="3"/>
      <c r="G28" t="s">
        <v>253</v>
      </c>
    </row>
    <row r="29" spans="1:7" x14ac:dyDescent="0.2">
      <c r="A29" s="1" t="s">
        <v>6</v>
      </c>
      <c r="C29" s="2" t="s">
        <v>22</v>
      </c>
      <c r="D29" s="3"/>
      <c r="E29" s="3">
        <v>7.6</v>
      </c>
      <c r="F29" s="3"/>
      <c r="G29" t="s">
        <v>239</v>
      </c>
    </row>
    <row r="30" spans="1:7" x14ac:dyDescent="0.2">
      <c r="A30" s="1" t="s">
        <v>8</v>
      </c>
      <c r="C30" s="2" t="s">
        <v>22</v>
      </c>
      <c r="D30" s="3"/>
      <c r="E30" s="3">
        <v>76.11</v>
      </c>
      <c r="F30" s="3"/>
      <c r="G30" t="s">
        <v>251</v>
      </c>
    </row>
    <row r="31" spans="1:7" x14ac:dyDescent="0.2">
      <c r="A31" s="1" t="s">
        <v>34</v>
      </c>
      <c r="C31" s="2" t="s">
        <v>22</v>
      </c>
      <c r="D31" s="3"/>
      <c r="E31" s="3">
        <v>25.98</v>
      </c>
      <c r="F31" s="3"/>
      <c r="G31" t="s">
        <v>252</v>
      </c>
    </row>
    <row r="32" spans="1:7" x14ac:dyDescent="0.2">
      <c r="A32" s="1" t="s">
        <v>34</v>
      </c>
      <c r="C32" s="2" t="s">
        <v>22</v>
      </c>
      <c r="D32" s="3"/>
      <c r="E32" s="3">
        <v>37.950000000000003</v>
      </c>
      <c r="F32" s="3"/>
      <c r="G32" t="s">
        <v>244</v>
      </c>
    </row>
    <row r="33" spans="1:7" x14ac:dyDescent="0.2">
      <c r="A33" s="1" t="s">
        <v>10</v>
      </c>
      <c r="C33" s="2" t="s">
        <v>22</v>
      </c>
      <c r="D33" s="3"/>
      <c r="E33" s="3">
        <v>76.11</v>
      </c>
      <c r="F33" s="3"/>
      <c r="G33" t="s">
        <v>251</v>
      </c>
    </row>
    <row r="34" spans="1:7" x14ac:dyDescent="0.2">
      <c r="A34" s="1" t="s">
        <v>10</v>
      </c>
      <c r="C34" s="2" t="s">
        <v>22</v>
      </c>
      <c r="D34" s="3"/>
      <c r="E34" s="3">
        <v>20.64</v>
      </c>
      <c r="F34" s="3"/>
      <c r="G34" t="s">
        <v>254</v>
      </c>
    </row>
    <row r="35" spans="1:7" x14ac:dyDescent="0.2">
      <c r="A35" s="1" t="s">
        <v>35</v>
      </c>
      <c r="C35" s="2" t="s">
        <v>22</v>
      </c>
      <c r="D35" s="3"/>
      <c r="E35" s="3">
        <v>21.98</v>
      </c>
      <c r="F35" s="3"/>
      <c r="G35" t="s">
        <v>255</v>
      </c>
    </row>
    <row r="36" spans="1:7" x14ac:dyDescent="0.2">
      <c r="A36" s="1" t="s">
        <v>36</v>
      </c>
      <c r="C36" s="2" t="s">
        <v>22</v>
      </c>
      <c r="D36" s="3"/>
      <c r="E36" s="3">
        <v>7.99</v>
      </c>
      <c r="F36" s="3"/>
      <c r="G36" t="s">
        <v>237</v>
      </c>
    </row>
    <row r="37" spans="1:7" x14ac:dyDescent="0.2">
      <c r="A37" s="1" t="s">
        <v>37</v>
      </c>
      <c r="C37" s="2" t="s">
        <v>22</v>
      </c>
      <c r="D37" s="3"/>
      <c r="E37" s="3">
        <v>37.950000000000003</v>
      </c>
      <c r="F37" s="3"/>
      <c r="G37" t="s">
        <v>244</v>
      </c>
    </row>
    <row r="38" spans="1:7" x14ac:dyDescent="0.2">
      <c r="A38" s="1" t="s">
        <v>38</v>
      </c>
      <c r="C38" s="2" t="s">
        <v>22</v>
      </c>
      <c r="D38" s="3"/>
      <c r="E38" s="4">
        <v>-13.04</v>
      </c>
      <c r="F38" s="3"/>
    </row>
    <row r="39" spans="1:7" x14ac:dyDescent="0.2">
      <c r="A39" s="1" t="s">
        <v>39</v>
      </c>
      <c r="C39" s="5" t="s">
        <v>22</v>
      </c>
      <c r="D39" s="3"/>
      <c r="E39" s="3">
        <v>17.989999999999998</v>
      </c>
      <c r="F39" s="3"/>
      <c r="G39" t="s">
        <v>245</v>
      </c>
    </row>
    <row r="40" spans="1:7" x14ac:dyDescent="0.2">
      <c r="A40" s="1" t="s">
        <v>40</v>
      </c>
      <c r="C40" s="5" t="s">
        <v>22</v>
      </c>
      <c r="D40" s="3"/>
      <c r="E40" s="3">
        <v>10.86</v>
      </c>
      <c r="F40" s="3"/>
      <c r="G40" t="s">
        <v>256</v>
      </c>
    </row>
    <row r="41" spans="1:7" x14ac:dyDescent="0.2">
      <c r="A41" s="1" t="s">
        <v>41</v>
      </c>
      <c r="C41" s="5" t="s">
        <v>42</v>
      </c>
      <c r="D41" s="3"/>
      <c r="E41" s="3">
        <v>11.98</v>
      </c>
      <c r="F41" s="3"/>
      <c r="G41" t="s">
        <v>257</v>
      </c>
    </row>
    <row r="42" spans="1:7" x14ac:dyDescent="0.2">
      <c r="A42" s="1" t="s">
        <v>43</v>
      </c>
      <c r="C42" s="5" t="s">
        <v>42</v>
      </c>
      <c r="D42" s="3"/>
      <c r="E42" s="3">
        <v>37.950000000000003</v>
      </c>
      <c r="F42" s="3"/>
      <c r="G42" t="s">
        <v>244</v>
      </c>
    </row>
    <row r="43" spans="1:7" x14ac:dyDescent="0.2">
      <c r="A43" s="1" t="s">
        <v>44</v>
      </c>
      <c r="C43" s="2" t="s">
        <v>42</v>
      </c>
      <c r="D43" s="3"/>
      <c r="E43" s="3">
        <v>10.86</v>
      </c>
      <c r="F43" s="3"/>
      <c r="G43" t="s">
        <v>256</v>
      </c>
    </row>
    <row r="44" spans="1:7" x14ac:dyDescent="0.2">
      <c r="A44" s="1" t="s">
        <v>45</v>
      </c>
      <c r="C44" s="2" t="s">
        <v>42</v>
      </c>
      <c r="D44" s="3"/>
      <c r="E44" s="3">
        <v>7.6</v>
      </c>
      <c r="F44" s="3"/>
      <c r="G44" t="s">
        <v>258</v>
      </c>
    </row>
    <row r="45" spans="1:7" x14ac:dyDescent="0.2">
      <c r="A45" s="1" t="s">
        <v>45</v>
      </c>
      <c r="C45" s="2" t="s">
        <v>42</v>
      </c>
      <c r="D45" s="3"/>
      <c r="E45" s="3">
        <v>17.989999999999998</v>
      </c>
      <c r="F45" s="3"/>
      <c r="G45" t="s">
        <v>245</v>
      </c>
    </row>
    <row r="46" spans="1:7" x14ac:dyDescent="0.2">
      <c r="A46" s="1" t="s">
        <v>46</v>
      </c>
      <c r="C46" s="2" t="s">
        <v>47</v>
      </c>
      <c r="D46" s="3"/>
      <c r="E46" s="3">
        <v>3.99</v>
      </c>
      <c r="F46" s="3"/>
    </row>
    <row r="47" spans="1:7" x14ac:dyDescent="0.2">
      <c r="A47" s="1" t="s">
        <v>38</v>
      </c>
      <c r="C47" s="2" t="s">
        <v>47</v>
      </c>
      <c r="D47" s="3"/>
      <c r="E47" s="3">
        <v>13.04</v>
      </c>
      <c r="F47" s="3"/>
      <c r="G47" t="s">
        <v>259</v>
      </c>
    </row>
    <row r="48" spans="1:7" x14ac:dyDescent="0.2">
      <c r="A48" s="1" t="s">
        <v>48</v>
      </c>
      <c r="C48" s="2" t="s">
        <v>49</v>
      </c>
      <c r="D48" s="3"/>
      <c r="E48" s="3">
        <v>25</v>
      </c>
      <c r="F48" s="3"/>
    </row>
    <row r="49" spans="1:7" x14ac:dyDescent="0.2">
      <c r="A49" s="1" t="s">
        <v>29</v>
      </c>
      <c r="C49" s="2" t="s">
        <v>49</v>
      </c>
      <c r="D49" s="3"/>
      <c r="E49" s="3">
        <v>25</v>
      </c>
      <c r="F49" s="3"/>
    </row>
    <row r="50" spans="1:7" x14ac:dyDescent="0.2">
      <c r="A50" s="1" t="s">
        <v>50</v>
      </c>
      <c r="C50" s="2" t="s">
        <v>49</v>
      </c>
      <c r="D50" s="3"/>
      <c r="E50" s="3">
        <v>200</v>
      </c>
      <c r="F50" s="3"/>
    </row>
    <row r="51" spans="1:7" x14ac:dyDescent="0.2">
      <c r="A51" s="1" t="s">
        <v>51</v>
      </c>
      <c r="C51" s="2" t="s">
        <v>52</v>
      </c>
      <c r="D51" s="3"/>
      <c r="E51" s="3">
        <v>25</v>
      </c>
      <c r="F51" s="3"/>
    </row>
    <row r="52" spans="1:7" x14ac:dyDescent="0.2">
      <c r="A52" s="1" t="s">
        <v>3</v>
      </c>
      <c r="C52" s="2" t="s">
        <v>53</v>
      </c>
      <c r="D52" s="3"/>
      <c r="E52" s="3">
        <v>200</v>
      </c>
      <c r="F52" s="3"/>
    </row>
    <row r="53" spans="1:7" x14ac:dyDescent="0.2">
      <c r="A53" s="1" t="s">
        <v>38</v>
      </c>
      <c r="C53" s="2" t="s">
        <v>54</v>
      </c>
      <c r="D53" s="3"/>
      <c r="E53" s="3">
        <v>25</v>
      </c>
      <c r="F53" s="3"/>
    </row>
    <row r="54" spans="1:7" x14ac:dyDescent="0.2">
      <c r="A54" s="1" t="s">
        <v>1</v>
      </c>
      <c r="C54" s="2" t="s">
        <v>54</v>
      </c>
      <c r="E54" s="3">
        <v>150</v>
      </c>
      <c r="F54" s="3"/>
    </row>
    <row r="55" spans="1:7" x14ac:dyDescent="0.2">
      <c r="A55" s="1" t="s">
        <v>2</v>
      </c>
      <c r="C55" s="2" t="s">
        <v>54</v>
      </c>
      <c r="D55" s="3"/>
      <c r="E55" s="3">
        <v>50</v>
      </c>
      <c r="F55" s="3"/>
    </row>
    <row r="56" spans="1:7" x14ac:dyDescent="0.2">
      <c r="A56" s="1" t="s">
        <v>2</v>
      </c>
      <c r="C56" s="2" t="s">
        <v>54</v>
      </c>
      <c r="D56" s="3"/>
      <c r="E56" s="3">
        <v>82.62</v>
      </c>
      <c r="F56" s="3"/>
    </row>
    <row r="57" spans="1:7" x14ac:dyDescent="0.2">
      <c r="A57" s="2" t="s">
        <v>55</v>
      </c>
      <c r="C57" s="2" t="s">
        <v>54</v>
      </c>
      <c r="D57" s="3"/>
      <c r="E57" s="3">
        <v>255.5</v>
      </c>
      <c r="F57" s="3"/>
    </row>
    <row r="58" spans="1:7" x14ac:dyDescent="0.2">
      <c r="A58" s="2" t="s">
        <v>56</v>
      </c>
      <c r="C58" s="2" t="s">
        <v>54</v>
      </c>
      <c r="D58" s="3"/>
      <c r="E58" s="3">
        <v>200</v>
      </c>
      <c r="F58" s="3">
        <f>SUM(E8:E58)</f>
        <v>2084.9300000000003</v>
      </c>
    </row>
    <row r="59" spans="1:7" x14ac:dyDescent="0.2">
      <c r="A59" s="1" t="s">
        <v>57</v>
      </c>
      <c r="C59" s="2" t="s">
        <v>58</v>
      </c>
      <c r="D59" s="3"/>
      <c r="E59" s="3">
        <v>25</v>
      </c>
      <c r="F59" s="3"/>
    </row>
    <row r="60" spans="1:7" x14ac:dyDescent="0.2">
      <c r="A60" s="1" t="s">
        <v>59</v>
      </c>
      <c r="C60" s="2" t="s">
        <v>58</v>
      </c>
      <c r="D60" s="3"/>
      <c r="E60" s="3">
        <v>25</v>
      </c>
      <c r="F60" s="3"/>
    </row>
    <row r="61" spans="1:7" x14ac:dyDescent="0.2">
      <c r="A61" s="1" t="s">
        <v>60</v>
      </c>
      <c r="C61" s="2" t="s">
        <v>58</v>
      </c>
      <c r="D61" s="3"/>
      <c r="E61" s="3">
        <v>25</v>
      </c>
      <c r="F61" s="3"/>
    </row>
    <row r="62" spans="1:7" x14ac:dyDescent="0.2">
      <c r="A62" s="1" t="s">
        <v>37</v>
      </c>
      <c r="C62" s="2" t="s">
        <v>58</v>
      </c>
      <c r="D62" s="3"/>
      <c r="E62" s="3">
        <v>25</v>
      </c>
      <c r="F62" s="3"/>
    </row>
    <row r="63" spans="1:7" x14ac:dyDescent="0.2">
      <c r="A63" s="1" t="s">
        <v>61</v>
      </c>
      <c r="C63" s="2" t="s">
        <v>58</v>
      </c>
      <c r="E63" s="3">
        <v>25</v>
      </c>
      <c r="F63" s="3">
        <f>SUM(E59:E63)</f>
        <v>125</v>
      </c>
      <c r="G63" t="s">
        <v>260</v>
      </c>
    </row>
    <row r="64" spans="1:7" x14ac:dyDescent="0.2">
      <c r="A64" s="1" t="s">
        <v>62</v>
      </c>
      <c r="C64" s="2" t="s">
        <v>63</v>
      </c>
      <c r="D64" s="3"/>
      <c r="E64" s="3">
        <v>35</v>
      </c>
      <c r="F64" s="3"/>
    </row>
    <row r="65" spans="1:7" x14ac:dyDescent="0.2">
      <c r="A65" s="1" t="s">
        <v>64</v>
      </c>
      <c r="C65" s="2" t="s">
        <v>65</v>
      </c>
      <c r="D65" s="3"/>
      <c r="E65" s="3">
        <v>35</v>
      </c>
      <c r="F65" s="3"/>
    </row>
    <row r="66" spans="1:7" x14ac:dyDescent="0.2">
      <c r="A66" s="1" t="s">
        <v>44</v>
      </c>
      <c r="C66" s="2" t="s">
        <v>65</v>
      </c>
      <c r="D66" s="3"/>
      <c r="E66" s="3">
        <v>35</v>
      </c>
      <c r="F66" s="3"/>
    </row>
    <row r="67" spans="1:7" x14ac:dyDescent="0.2">
      <c r="A67" s="1" t="s">
        <v>66</v>
      </c>
      <c r="C67" s="2" t="s">
        <v>65</v>
      </c>
      <c r="D67" s="3"/>
      <c r="E67" s="3">
        <v>35</v>
      </c>
      <c r="F67" s="3"/>
    </row>
    <row r="68" spans="1:7" x14ac:dyDescent="0.2">
      <c r="A68" s="1" t="s">
        <v>67</v>
      </c>
      <c r="C68" s="2" t="s">
        <v>65</v>
      </c>
      <c r="E68" s="3">
        <v>35</v>
      </c>
      <c r="F68" s="3"/>
    </row>
    <row r="69" spans="1:7" x14ac:dyDescent="0.2">
      <c r="A69" s="1" t="s">
        <v>67</v>
      </c>
      <c r="C69" s="2" t="s">
        <v>65</v>
      </c>
      <c r="E69" s="3">
        <v>35</v>
      </c>
      <c r="F69" s="3"/>
    </row>
    <row r="70" spans="1:7" x14ac:dyDescent="0.2">
      <c r="A70" s="1" t="s">
        <v>68</v>
      </c>
      <c r="C70" s="2" t="s">
        <v>69</v>
      </c>
      <c r="D70" s="3"/>
      <c r="E70" s="3">
        <v>35</v>
      </c>
      <c r="F70" s="3">
        <f>SUM(E64:E70)</f>
        <v>245</v>
      </c>
    </row>
    <row r="71" spans="1:7" x14ac:dyDescent="0.2">
      <c r="A71" s="1" t="s">
        <v>70</v>
      </c>
      <c r="C71" s="2" t="s">
        <v>71</v>
      </c>
      <c r="D71" s="3"/>
      <c r="E71" s="3">
        <v>333.5</v>
      </c>
      <c r="F71" s="4">
        <v>333.5</v>
      </c>
      <c r="G71" t="s">
        <v>261</v>
      </c>
    </row>
    <row r="72" spans="1:7" x14ac:dyDescent="0.2">
      <c r="A72" s="1" t="s">
        <v>72</v>
      </c>
      <c r="C72" s="2" t="s">
        <v>73</v>
      </c>
      <c r="D72" s="3"/>
      <c r="E72" s="3">
        <v>22.86</v>
      </c>
      <c r="F72" s="3"/>
    </row>
    <row r="73" spans="1:7" x14ac:dyDescent="0.2">
      <c r="A73" s="1" t="s">
        <v>59</v>
      </c>
      <c r="C73" s="2" t="s">
        <v>73</v>
      </c>
      <c r="D73" s="3"/>
      <c r="E73" s="3">
        <v>22.86</v>
      </c>
      <c r="F73" s="3"/>
    </row>
    <row r="74" spans="1:7" x14ac:dyDescent="0.2">
      <c r="A74" s="1" t="s">
        <v>74</v>
      </c>
      <c r="C74" s="2" t="s">
        <v>73</v>
      </c>
      <c r="D74" s="3"/>
      <c r="E74" s="3">
        <v>22.86</v>
      </c>
      <c r="F74" s="3"/>
    </row>
    <row r="75" spans="1:7" x14ac:dyDescent="0.2">
      <c r="A75" s="1" t="s">
        <v>60</v>
      </c>
      <c r="C75" s="2" t="s">
        <v>73</v>
      </c>
      <c r="D75" s="3"/>
      <c r="E75" s="3">
        <v>22.86</v>
      </c>
      <c r="F75" s="3"/>
    </row>
    <row r="76" spans="1:7" x14ac:dyDescent="0.2">
      <c r="A76" s="1" t="s">
        <v>75</v>
      </c>
      <c r="C76" s="2" t="s">
        <v>73</v>
      </c>
      <c r="D76" s="3"/>
      <c r="E76" s="3">
        <v>22.86</v>
      </c>
      <c r="F76" s="3"/>
    </row>
    <row r="77" spans="1:7" x14ac:dyDescent="0.2">
      <c r="A77" s="1" t="s">
        <v>76</v>
      </c>
      <c r="C77" s="5" t="s">
        <v>73</v>
      </c>
      <c r="D77" s="3"/>
      <c r="E77" s="3">
        <v>22.86</v>
      </c>
      <c r="F77" s="3"/>
    </row>
    <row r="78" spans="1:7" x14ac:dyDescent="0.2">
      <c r="A78" s="1" t="s">
        <v>77</v>
      </c>
      <c r="C78" s="2" t="s">
        <v>73</v>
      </c>
      <c r="D78" s="3"/>
      <c r="E78" s="3">
        <v>22.86</v>
      </c>
      <c r="F78" s="3"/>
    </row>
    <row r="79" spans="1:7" x14ac:dyDescent="0.2">
      <c r="A79" s="1" t="s">
        <v>1</v>
      </c>
      <c r="C79" s="2" t="s">
        <v>73</v>
      </c>
      <c r="E79" s="3">
        <v>22.86</v>
      </c>
      <c r="F79" s="3"/>
    </row>
    <row r="80" spans="1:7" x14ac:dyDescent="0.2">
      <c r="A80" s="1" t="s">
        <v>78</v>
      </c>
      <c r="C80" s="6" t="s">
        <v>73</v>
      </c>
      <c r="D80" s="3"/>
      <c r="E80" s="3">
        <v>22.86</v>
      </c>
      <c r="F80" s="3">
        <f>SUM(E72:E80)</f>
        <v>205.74</v>
      </c>
    </row>
    <row r="81" spans="1:7" x14ac:dyDescent="0.2">
      <c r="A81" s="2" t="s">
        <v>79</v>
      </c>
      <c r="C81" s="2" t="s">
        <v>80</v>
      </c>
      <c r="D81" s="3"/>
      <c r="E81" s="3">
        <v>3</v>
      </c>
      <c r="F81" s="4">
        <v>3</v>
      </c>
    </row>
    <row r="82" spans="1:7" x14ac:dyDescent="0.2">
      <c r="A82" s="2" t="s">
        <v>81</v>
      </c>
      <c r="C82" s="2" t="s">
        <v>82</v>
      </c>
      <c r="D82" s="3"/>
      <c r="E82" s="3">
        <v>200</v>
      </c>
      <c r="F82" s="3"/>
    </row>
    <row r="83" spans="1:7" x14ac:dyDescent="0.2">
      <c r="A83" s="2" t="s">
        <v>83</v>
      </c>
      <c r="C83" s="2" t="s">
        <v>82</v>
      </c>
      <c r="D83" s="3"/>
      <c r="E83" s="3">
        <v>200</v>
      </c>
      <c r="F83" s="3">
        <f>E83+E82</f>
        <v>400</v>
      </c>
      <c r="G83" t="s">
        <v>262</v>
      </c>
    </row>
    <row r="84" spans="1:7" x14ac:dyDescent="0.2">
      <c r="A84" s="5" t="s">
        <v>84</v>
      </c>
      <c r="B84" s="5"/>
      <c r="C84" s="5" t="s">
        <v>85</v>
      </c>
      <c r="D84" s="3"/>
      <c r="E84" s="3">
        <v>60</v>
      </c>
      <c r="F84" s="4">
        <v>60</v>
      </c>
      <c r="G84" t="s">
        <v>263</v>
      </c>
    </row>
    <row r="85" spans="1:7" x14ac:dyDescent="0.2">
      <c r="A85" s="2" t="s">
        <v>86</v>
      </c>
      <c r="C85" s="2" t="s">
        <v>87</v>
      </c>
      <c r="D85" s="3"/>
      <c r="E85" s="3">
        <v>300</v>
      </c>
      <c r="F85" s="4">
        <v>300</v>
      </c>
      <c r="G85" t="s">
        <v>264</v>
      </c>
    </row>
    <row r="86" spans="1:7" x14ac:dyDescent="0.2">
      <c r="A86" s="1" t="s">
        <v>88</v>
      </c>
      <c r="C86" s="2" t="s">
        <v>89</v>
      </c>
      <c r="D86" s="3"/>
      <c r="E86" s="3">
        <v>150</v>
      </c>
      <c r="F86" s="4">
        <v>150</v>
      </c>
      <c r="G86" t="s">
        <v>265</v>
      </c>
    </row>
    <row r="87" spans="1:7" x14ac:dyDescent="0.2">
      <c r="A87" s="1" t="s">
        <v>90</v>
      </c>
      <c r="C87" s="6" t="s">
        <v>91</v>
      </c>
      <c r="E87" s="3">
        <v>80</v>
      </c>
      <c r="F87" s="3"/>
      <c r="G87" t="s">
        <v>265</v>
      </c>
    </row>
    <row r="88" spans="1:7" x14ac:dyDescent="0.2">
      <c r="A88" s="1" t="s">
        <v>92</v>
      </c>
      <c r="C88" s="2" t="s">
        <v>91</v>
      </c>
      <c r="D88" s="3"/>
      <c r="E88" s="3">
        <v>250</v>
      </c>
      <c r="F88" s="3"/>
      <c r="G88" t="s">
        <v>265</v>
      </c>
    </row>
    <row r="89" spans="1:7" x14ac:dyDescent="0.2">
      <c r="A89" s="2" t="s">
        <v>55</v>
      </c>
      <c r="C89" s="2" t="s">
        <v>91</v>
      </c>
      <c r="D89" s="3"/>
      <c r="E89" s="3">
        <v>250</v>
      </c>
      <c r="F89" s="3">
        <f>SUM(E87:E89)</f>
        <v>580</v>
      </c>
      <c r="G89" t="s">
        <v>265</v>
      </c>
    </row>
    <row r="90" spans="1:7" x14ac:dyDescent="0.2">
      <c r="A90" s="1" t="s">
        <v>84</v>
      </c>
      <c r="C90" s="5" t="s">
        <v>93</v>
      </c>
      <c r="D90" s="3"/>
      <c r="E90" s="3">
        <v>39.950000000000003</v>
      </c>
      <c r="F90" s="3"/>
      <c r="G90" t="s">
        <v>266</v>
      </c>
    </row>
    <row r="91" spans="1:7" x14ac:dyDescent="0.2">
      <c r="A91" s="1" t="s">
        <v>84</v>
      </c>
      <c r="C91" s="5" t="s">
        <v>93</v>
      </c>
      <c r="D91" s="3"/>
      <c r="E91" s="3">
        <v>4.95</v>
      </c>
      <c r="F91" s="3"/>
      <c r="G91" t="s">
        <v>266</v>
      </c>
    </row>
    <row r="92" spans="1:7" x14ac:dyDescent="0.2">
      <c r="A92" s="1" t="s">
        <v>44</v>
      </c>
      <c r="C92" s="2" t="s">
        <v>93</v>
      </c>
      <c r="D92" s="3"/>
      <c r="E92" s="3">
        <v>39.950000000000003</v>
      </c>
      <c r="F92" s="3"/>
      <c r="G92" t="s">
        <v>266</v>
      </c>
    </row>
    <row r="93" spans="1:7" x14ac:dyDescent="0.2">
      <c r="A93" s="1" t="s">
        <v>15</v>
      </c>
      <c r="C93" s="2" t="s">
        <v>94</v>
      </c>
      <c r="D93" s="3"/>
      <c r="E93" s="3">
        <v>39.950000000000003</v>
      </c>
      <c r="F93" s="3"/>
      <c r="G93" t="s">
        <v>266</v>
      </c>
    </row>
    <row r="94" spans="1:7" x14ac:dyDescent="0.2">
      <c r="A94" s="1" t="s">
        <v>95</v>
      </c>
      <c r="C94" s="2" t="s">
        <v>94</v>
      </c>
      <c r="D94" s="3"/>
      <c r="E94" s="3">
        <v>39.950000000000003</v>
      </c>
      <c r="F94" s="3"/>
      <c r="G94" t="s">
        <v>266</v>
      </c>
    </row>
    <row r="95" spans="1:7" x14ac:dyDescent="0.2">
      <c r="A95" s="1" t="s">
        <v>67</v>
      </c>
      <c r="C95" s="2" t="s">
        <v>96</v>
      </c>
      <c r="E95" s="3">
        <v>4.95</v>
      </c>
      <c r="F95" s="3"/>
      <c r="G95" t="s">
        <v>266</v>
      </c>
    </row>
    <row r="96" spans="1:7" x14ac:dyDescent="0.2">
      <c r="A96" s="1" t="s">
        <v>90</v>
      </c>
      <c r="C96" s="2" t="s">
        <v>96</v>
      </c>
      <c r="E96" s="3">
        <v>39.950000000000003</v>
      </c>
      <c r="F96" s="3">
        <f>SUM(E90:E96)</f>
        <v>209.64999999999998</v>
      </c>
      <c r="G96" t="s">
        <v>266</v>
      </c>
    </row>
    <row r="97" spans="1:7" x14ac:dyDescent="0.2">
      <c r="A97" s="2" t="s">
        <v>97</v>
      </c>
      <c r="C97" s="2" t="s">
        <v>98</v>
      </c>
      <c r="E97" s="3">
        <v>5</v>
      </c>
      <c r="F97" s="4">
        <v>5</v>
      </c>
    </row>
    <row r="98" spans="1:7" x14ac:dyDescent="0.2">
      <c r="A98" s="1" t="s">
        <v>99</v>
      </c>
      <c r="C98" s="2" t="s">
        <v>100</v>
      </c>
      <c r="D98" s="3"/>
      <c r="E98" s="3">
        <v>294.23</v>
      </c>
      <c r="F98" s="3"/>
    </row>
    <row r="99" spans="1:7" x14ac:dyDescent="0.2">
      <c r="A99" s="1" t="s">
        <v>24</v>
      </c>
      <c r="C99" s="2" t="s">
        <v>100</v>
      </c>
      <c r="D99" s="3"/>
      <c r="E99" s="4">
        <v>-245</v>
      </c>
      <c r="F99" s="3"/>
    </row>
    <row r="100" spans="1:7" x14ac:dyDescent="0.2">
      <c r="A100" s="1" t="s">
        <v>28</v>
      </c>
      <c r="C100" s="2" t="s">
        <v>100</v>
      </c>
      <c r="D100" s="3"/>
      <c r="E100" s="3">
        <v>50</v>
      </c>
      <c r="F100" s="3"/>
    </row>
    <row r="101" spans="1:7" x14ac:dyDescent="0.2">
      <c r="A101" s="1" t="s">
        <v>33</v>
      </c>
      <c r="C101" s="2" t="s">
        <v>100</v>
      </c>
      <c r="D101" s="3"/>
      <c r="E101" s="3">
        <v>50</v>
      </c>
      <c r="F101" s="3"/>
    </row>
    <row r="102" spans="1:7" x14ac:dyDescent="0.2">
      <c r="A102" s="7" t="s">
        <v>101</v>
      </c>
      <c r="C102" s="2" t="s">
        <v>100</v>
      </c>
      <c r="D102" s="3"/>
      <c r="E102" s="3">
        <v>50</v>
      </c>
      <c r="F102" s="3"/>
    </row>
    <row r="103" spans="1:7" x14ac:dyDescent="0.2">
      <c r="A103" s="1" t="s">
        <v>102</v>
      </c>
      <c r="C103" s="2" t="s">
        <v>100</v>
      </c>
      <c r="D103" s="3"/>
      <c r="E103" s="3">
        <v>270</v>
      </c>
      <c r="F103" s="3"/>
    </row>
    <row r="104" spans="1:7" x14ac:dyDescent="0.2">
      <c r="A104" s="1" t="s">
        <v>102</v>
      </c>
      <c r="C104" s="2" t="s">
        <v>100</v>
      </c>
      <c r="D104" s="3"/>
      <c r="E104" s="3">
        <v>216</v>
      </c>
      <c r="F104" s="3"/>
    </row>
    <row r="105" spans="1:7" x14ac:dyDescent="0.2">
      <c r="A105" s="1" t="s">
        <v>102</v>
      </c>
      <c r="C105" s="2" t="s">
        <v>100</v>
      </c>
      <c r="D105" s="3"/>
      <c r="E105" s="3">
        <v>211.37</v>
      </c>
      <c r="F105" s="3">
        <f>SUM(E98:E105)</f>
        <v>896.6</v>
      </c>
      <c r="G105" t="s">
        <v>267</v>
      </c>
    </row>
    <row r="106" spans="1:7" x14ac:dyDescent="0.2">
      <c r="A106" s="1" t="s">
        <v>72</v>
      </c>
      <c r="C106" s="2" t="s">
        <v>103</v>
      </c>
      <c r="D106" s="3"/>
      <c r="E106" s="3">
        <v>85</v>
      </c>
      <c r="F106" s="3"/>
      <c r="G106" t="s">
        <v>268</v>
      </c>
    </row>
    <row r="107" spans="1:7" x14ac:dyDescent="0.2">
      <c r="A107" s="1" t="s">
        <v>104</v>
      </c>
      <c r="C107" s="2" t="s">
        <v>103</v>
      </c>
      <c r="D107" s="3"/>
      <c r="E107" s="3">
        <v>128</v>
      </c>
      <c r="F107" s="3"/>
      <c r="G107" t="s">
        <v>268</v>
      </c>
    </row>
    <row r="108" spans="1:7" x14ac:dyDescent="0.2">
      <c r="A108" s="1" t="s">
        <v>105</v>
      </c>
      <c r="C108" s="2" t="s">
        <v>103</v>
      </c>
      <c r="D108" s="3"/>
      <c r="E108" s="3">
        <v>137</v>
      </c>
      <c r="F108" s="3"/>
      <c r="G108" t="s">
        <v>268</v>
      </c>
    </row>
    <row r="109" spans="1:7" x14ac:dyDescent="0.2">
      <c r="A109" s="1" t="s">
        <v>106</v>
      </c>
      <c r="C109" s="2" t="s">
        <v>103</v>
      </c>
      <c r="D109" s="3"/>
      <c r="E109" s="3">
        <v>134</v>
      </c>
      <c r="F109" s="3"/>
      <c r="G109" t="s">
        <v>268</v>
      </c>
    </row>
    <row r="110" spans="1:7" x14ac:dyDescent="0.2">
      <c r="A110" s="1" t="s">
        <v>107</v>
      </c>
      <c r="C110" s="2" t="s">
        <v>103</v>
      </c>
      <c r="D110" s="3"/>
      <c r="E110" s="3">
        <v>144</v>
      </c>
      <c r="F110" s="3"/>
      <c r="G110" t="s">
        <v>268</v>
      </c>
    </row>
    <row r="111" spans="1:7" x14ac:dyDescent="0.2">
      <c r="A111" s="1" t="s">
        <v>108</v>
      </c>
      <c r="C111" s="2" t="s">
        <v>103</v>
      </c>
      <c r="D111" s="3"/>
      <c r="E111" s="3">
        <v>143</v>
      </c>
      <c r="F111" s="3"/>
      <c r="G111" t="s">
        <v>268</v>
      </c>
    </row>
    <row r="112" spans="1:7" x14ac:dyDescent="0.2">
      <c r="A112" s="1" t="s">
        <v>1</v>
      </c>
      <c r="C112" s="2" t="s">
        <v>103</v>
      </c>
      <c r="E112" s="3">
        <v>97</v>
      </c>
      <c r="F112" s="3"/>
      <c r="G112" t="s">
        <v>268</v>
      </c>
    </row>
    <row r="113" spans="1:7" x14ac:dyDescent="0.2">
      <c r="A113" s="1" t="s">
        <v>102</v>
      </c>
      <c r="C113" s="2" t="s">
        <v>109</v>
      </c>
      <c r="D113" s="3"/>
      <c r="E113" s="3">
        <v>502</v>
      </c>
      <c r="F113" s="3"/>
      <c r="G113" t="s">
        <v>268</v>
      </c>
    </row>
    <row r="114" spans="1:7" x14ac:dyDescent="0.2">
      <c r="A114" s="1" t="s">
        <v>92</v>
      </c>
      <c r="C114" s="2" t="s">
        <v>110</v>
      </c>
      <c r="D114" s="3"/>
      <c r="E114" s="3">
        <v>97</v>
      </c>
      <c r="F114" s="3"/>
    </row>
    <row r="115" spans="1:7" x14ac:dyDescent="0.2">
      <c r="A115" s="2" t="s">
        <v>111</v>
      </c>
      <c r="C115" s="2" t="s">
        <v>110</v>
      </c>
      <c r="D115" s="3"/>
      <c r="E115" s="3">
        <v>97</v>
      </c>
      <c r="F115" s="3"/>
    </row>
    <row r="116" spans="1:7" x14ac:dyDescent="0.2">
      <c r="A116" s="2" t="s">
        <v>55</v>
      </c>
      <c r="C116" s="2" t="s">
        <v>112</v>
      </c>
      <c r="D116" s="3"/>
      <c r="E116" s="3">
        <v>97</v>
      </c>
      <c r="F116" s="3">
        <f>SUM(E106:E116)</f>
        <v>1661</v>
      </c>
    </row>
    <row r="117" spans="1:7" x14ac:dyDescent="0.2">
      <c r="A117" s="2" t="s">
        <v>56</v>
      </c>
      <c r="C117" s="2" t="s">
        <v>113</v>
      </c>
      <c r="D117" s="3"/>
      <c r="E117" s="3">
        <v>196.09</v>
      </c>
      <c r="F117" s="4">
        <v>196.09</v>
      </c>
    </row>
    <row r="118" spans="1:7" x14ac:dyDescent="0.2">
      <c r="A118" s="1" t="s">
        <v>21</v>
      </c>
      <c r="C118" s="2" t="s">
        <v>114</v>
      </c>
      <c r="D118" s="3"/>
      <c r="E118" s="3">
        <v>26.55</v>
      </c>
      <c r="F118" s="4">
        <v>26.55</v>
      </c>
    </row>
    <row r="119" spans="1:7" x14ac:dyDescent="0.2">
      <c r="A119" s="1" t="s">
        <v>24</v>
      </c>
      <c r="C119" s="2" t="s">
        <v>115</v>
      </c>
      <c r="D119" s="3"/>
      <c r="E119" s="3">
        <v>5</v>
      </c>
      <c r="F119" s="3"/>
    </row>
    <row r="120" spans="1:7" x14ac:dyDescent="0.2">
      <c r="A120" s="1" t="s">
        <v>25</v>
      </c>
      <c r="C120" s="2" t="s">
        <v>115</v>
      </c>
      <c r="D120" s="3"/>
      <c r="E120" s="3">
        <v>49</v>
      </c>
      <c r="F120" s="3"/>
    </row>
    <row r="121" spans="1:7" x14ac:dyDescent="0.2">
      <c r="A121" s="1" t="s">
        <v>25</v>
      </c>
      <c r="C121" s="2" t="s">
        <v>115</v>
      </c>
      <c r="D121" s="3"/>
      <c r="E121" s="3">
        <v>5</v>
      </c>
      <c r="F121" s="3"/>
    </row>
    <row r="122" spans="1:7" x14ac:dyDescent="0.2">
      <c r="A122" s="1" t="s">
        <v>26</v>
      </c>
      <c r="C122" s="2" t="s">
        <v>115</v>
      </c>
      <c r="D122" s="3"/>
      <c r="E122" s="3">
        <v>15</v>
      </c>
      <c r="F122" s="3">
        <f>SUM(E119:E122)</f>
        <v>74</v>
      </c>
    </row>
    <row r="123" spans="1:7" x14ac:dyDescent="0.2">
      <c r="A123" s="1" t="s">
        <v>116</v>
      </c>
      <c r="C123" s="2" t="s">
        <v>117</v>
      </c>
      <c r="D123" s="3"/>
      <c r="E123" s="3">
        <v>4.99</v>
      </c>
      <c r="F123" s="4">
        <v>4.99</v>
      </c>
      <c r="G123" t="s">
        <v>269</v>
      </c>
    </row>
    <row r="124" spans="1:7" x14ac:dyDescent="0.2">
      <c r="A124" s="1" t="s">
        <v>88</v>
      </c>
      <c r="C124" s="2" t="s">
        <v>118</v>
      </c>
      <c r="D124" s="3"/>
      <c r="E124" s="3">
        <v>45</v>
      </c>
      <c r="F124" s="4">
        <v>45</v>
      </c>
      <c r="G124" t="s">
        <v>270</v>
      </c>
    </row>
    <row r="125" spans="1:7" x14ac:dyDescent="0.2">
      <c r="A125" s="1" t="s">
        <v>29</v>
      </c>
      <c r="C125" s="2" t="s">
        <v>119</v>
      </c>
      <c r="D125" s="3"/>
      <c r="E125" s="3">
        <v>314.94</v>
      </c>
      <c r="F125" s="4">
        <v>314.94</v>
      </c>
      <c r="G125" t="s">
        <v>271</v>
      </c>
    </row>
    <row r="126" spans="1:7" x14ac:dyDescent="0.2">
      <c r="A126" s="1" t="s">
        <v>59</v>
      </c>
      <c r="C126" s="6" t="s">
        <v>120</v>
      </c>
      <c r="D126" s="3"/>
      <c r="E126" s="3">
        <v>191.88</v>
      </c>
      <c r="F126" s="3"/>
      <c r="G126" t="s">
        <v>272</v>
      </c>
    </row>
    <row r="127" spans="1:7" x14ac:dyDescent="0.2">
      <c r="A127" s="1" t="s">
        <v>121</v>
      </c>
      <c r="C127" s="2" t="s">
        <v>120</v>
      </c>
      <c r="D127" s="3"/>
      <c r="E127" s="3">
        <v>251.76</v>
      </c>
      <c r="F127" s="3"/>
      <c r="G127" t="s">
        <v>272</v>
      </c>
    </row>
    <row r="128" spans="1:7" x14ac:dyDescent="0.2">
      <c r="A128" s="1" t="s">
        <v>99</v>
      </c>
      <c r="C128" s="2" t="s">
        <v>120</v>
      </c>
      <c r="D128" s="3"/>
      <c r="E128" s="3">
        <v>35.159999999999997</v>
      </c>
      <c r="F128" s="3"/>
      <c r="G128" t="s">
        <v>272</v>
      </c>
    </row>
    <row r="129" spans="1:7" x14ac:dyDescent="0.2">
      <c r="A129" s="1" t="s">
        <v>26</v>
      </c>
      <c r="C129" s="2" t="s">
        <v>120</v>
      </c>
      <c r="D129" s="3"/>
      <c r="E129" s="3">
        <v>55.16</v>
      </c>
      <c r="F129" s="3"/>
      <c r="G129" t="s">
        <v>272</v>
      </c>
    </row>
    <row r="130" spans="1:7" x14ac:dyDescent="0.2">
      <c r="A130" s="1" t="s">
        <v>70</v>
      </c>
      <c r="C130" s="2" t="s">
        <v>120</v>
      </c>
      <c r="D130" s="3"/>
      <c r="E130" s="3">
        <v>22.17</v>
      </c>
      <c r="F130" s="3"/>
      <c r="G130" t="s">
        <v>272</v>
      </c>
    </row>
    <row r="131" spans="1:7" x14ac:dyDescent="0.2">
      <c r="A131" s="1" t="s">
        <v>59</v>
      </c>
      <c r="C131" s="2" t="s">
        <v>120</v>
      </c>
      <c r="D131" s="3"/>
      <c r="E131" s="3">
        <v>4.99</v>
      </c>
      <c r="F131" s="3"/>
      <c r="G131" t="s">
        <v>272</v>
      </c>
    </row>
    <row r="132" spans="1:7" x14ac:dyDescent="0.2">
      <c r="A132" s="1" t="s">
        <v>122</v>
      </c>
      <c r="C132" s="2" t="s">
        <v>120</v>
      </c>
      <c r="D132" s="3"/>
      <c r="E132" s="3">
        <v>70.319999999999993</v>
      </c>
      <c r="F132" s="3"/>
      <c r="G132" t="s">
        <v>272</v>
      </c>
    </row>
    <row r="133" spans="1:7" x14ac:dyDescent="0.2">
      <c r="A133" s="1" t="s">
        <v>61</v>
      </c>
      <c r="C133" s="2" t="s">
        <v>120</v>
      </c>
      <c r="E133" s="3">
        <v>35.159999999999997</v>
      </c>
      <c r="F133" s="3">
        <f>SUM(E126:E133)</f>
        <v>666.5999999999998</v>
      </c>
      <c r="G133" t="s">
        <v>272</v>
      </c>
    </row>
    <row r="134" spans="1:7" x14ac:dyDescent="0.2">
      <c r="A134" s="1" t="s">
        <v>123</v>
      </c>
      <c r="C134" s="2" t="s">
        <v>124</v>
      </c>
      <c r="D134" s="3"/>
      <c r="E134" s="3">
        <v>10</v>
      </c>
      <c r="F134" s="3"/>
      <c r="G134" t="s">
        <v>273</v>
      </c>
    </row>
    <row r="135" spans="1:7" x14ac:dyDescent="0.2">
      <c r="A135" s="1" t="s">
        <v>4</v>
      </c>
      <c r="C135" s="2" t="s">
        <v>125</v>
      </c>
      <c r="D135" s="3"/>
      <c r="E135" s="3">
        <v>11.71</v>
      </c>
      <c r="F135" s="3"/>
      <c r="G135" t="s">
        <v>273</v>
      </c>
    </row>
    <row r="136" spans="1:7" x14ac:dyDescent="0.2">
      <c r="A136" s="1" t="s">
        <v>4</v>
      </c>
      <c r="C136" s="2" t="s">
        <v>125</v>
      </c>
      <c r="D136" s="3"/>
      <c r="E136" s="3">
        <v>50</v>
      </c>
      <c r="F136" s="3"/>
      <c r="G136" t="s">
        <v>273</v>
      </c>
    </row>
    <row r="137" spans="1:7" x14ac:dyDescent="0.2">
      <c r="A137" s="2" t="s">
        <v>55</v>
      </c>
      <c r="C137" s="2" t="s">
        <v>125</v>
      </c>
      <c r="D137" s="3"/>
      <c r="E137" s="3">
        <v>113.25</v>
      </c>
      <c r="F137" s="3">
        <f>SUM(E134:E137)</f>
        <v>184.96</v>
      </c>
      <c r="G137" t="s">
        <v>273</v>
      </c>
    </row>
    <row r="138" spans="1:7" x14ac:dyDescent="0.2">
      <c r="A138" s="1" t="s">
        <v>23</v>
      </c>
      <c r="C138" s="2" t="s">
        <v>126</v>
      </c>
      <c r="D138" s="3"/>
      <c r="E138" s="3">
        <v>5.89</v>
      </c>
      <c r="F138" s="3"/>
      <c r="G138" t="s">
        <v>273</v>
      </c>
    </row>
    <row r="139" spans="1:7" x14ac:dyDescent="0.2">
      <c r="A139" s="1" t="s">
        <v>127</v>
      </c>
      <c r="C139" s="2" t="s">
        <v>126</v>
      </c>
      <c r="D139" s="3"/>
      <c r="E139" s="3">
        <v>5.99</v>
      </c>
      <c r="F139" s="3"/>
      <c r="G139" t="s">
        <v>273</v>
      </c>
    </row>
    <row r="140" spans="1:7" x14ac:dyDescent="0.2">
      <c r="A140" s="1" t="s">
        <v>128</v>
      </c>
      <c r="C140" s="2" t="s">
        <v>126</v>
      </c>
      <c r="D140" s="3"/>
      <c r="E140" s="3">
        <v>11.94</v>
      </c>
      <c r="F140" s="3"/>
      <c r="G140" t="s">
        <v>273</v>
      </c>
    </row>
    <row r="141" spans="1:7" x14ac:dyDescent="0.2">
      <c r="A141" s="1" t="s">
        <v>129</v>
      </c>
      <c r="C141" s="2" t="s">
        <v>126</v>
      </c>
      <c r="D141" s="3"/>
      <c r="E141" s="3">
        <v>5.99</v>
      </c>
      <c r="F141" s="3"/>
      <c r="G141" t="s">
        <v>273</v>
      </c>
    </row>
    <row r="142" spans="1:7" x14ac:dyDescent="0.2">
      <c r="A142" s="1" t="s">
        <v>44</v>
      </c>
      <c r="C142" s="2" t="s">
        <v>126</v>
      </c>
      <c r="D142" s="3"/>
      <c r="E142" s="3">
        <v>5.99</v>
      </c>
      <c r="F142" s="3"/>
      <c r="G142" t="s">
        <v>273</v>
      </c>
    </row>
    <row r="143" spans="1:7" x14ac:dyDescent="0.2">
      <c r="A143" s="1" t="s">
        <v>77</v>
      </c>
      <c r="C143" s="2" t="s">
        <v>126</v>
      </c>
      <c r="D143" s="3"/>
      <c r="E143" s="3">
        <v>5.99</v>
      </c>
      <c r="F143" s="3"/>
      <c r="G143" t="s">
        <v>273</v>
      </c>
    </row>
    <row r="144" spans="1:7" x14ac:dyDescent="0.2">
      <c r="A144" s="1" t="s">
        <v>130</v>
      </c>
      <c r="C144" s="2" t="s">
        <v>126</v>
      </c>
      <c r="D144" s="3"/>
      <c r="E144" s="3">
        <v>5.99</v>
      </c>
      <c r="F144" s="3"/>
      <c r="G144" t="s">
        <v>273</v>
      </c>
    </row>
    <row r="145" spans="1:7" x14ac:dyDescent="0.2">
      <c r="A145" s="1" t="s">
        <v>131</v>
      </c>
      <c r="C145" s="2" t="s">
        <v>126</v>
      </c>
      <c r="E145" s="3">
        <v>5.99</v>
      </c>
      <c r="F145" s="3"/>
      <c r="G145" t="s">
        <v>273</v>
      </c>
    </row>
    <row r="146" spans="1:7" x14ac:dyDescent="0.2">
      <c r="A146" s="1" t="s">
        <v>3</v>
      </c>
      <c r="C146" s="2" t="s">
        <v>126</v>
      </c>
      <c r="D146" s="3"/>
      <c r="E146" s="3">
        <v>5.99</v>
      </c>
      <c r="F146" s="3"/>
      <c r="G146" t="s">
        <v>273</v>
      </c>
    </row>
    <row r="147" spans="1:7" x14ac:dyDescent="0.2">
      <c r="A147" s="2" t="s">
        <v>132</v>
      </c>
      <c r="C147" s="2" t="s">
        <v>126</v>
      </c>
      <c r="D147" s="3"/>
      <c r="E147" s="3">
        <v>5.99</v>
      </c>
      <c r="F147" s="3"/>
      <c r="G147" t="s">
        <v>273</v>
      </c>
    </row>
    <row r="148" spans="1:7" x14ac:dyDescent="0.2">
      <c r="A148" s="2" t="s">
        <v>133</v>
      </c>
      <c r="C148" s="2" t="s">
        <v>126</v>
      </c>
      <c r="D148" s="3"/>
      <c r="E148" s="3">
        <v>5.99</v>
      </c>
      <c r="F148" s="3">
        <f>SUM(E138:E148)</f>
        <v>71.740000000000009</v>
      </c>
      <c r="G148" t="s">
        <v>273</v>
      </c>
    </row>
    <row r="149" spans="1:7" x14ac:dyDescent="0.2">
      <c r="A149" s="2" t="s">
        <v>81</v>
      </c>
      <c r="C149" s="2" t="s">
        <v>134</v>
      </c>
      <c r="D149" s="3"/>
      <c r="E149" s="3">
        <v>3.23</v>
      </c>
      <c r="F149" s="4">
        <v>3.23</v>
      </c>
      <c r="G149" t="s">
        <v>273</v>
      </c>
    </row>
    <row r="150" spans="1:7" x14ac:dyDescent="0.2">
      <c r="A150" s="1" t="s">
        <v>135</v>
      </c>
      <c r="C150" s="2" t="s">
        <v>136</v>
      </c>
      <c r="D150" s="3"/>
      <c r="E150" s="3">
        <v>40.340000000000003</v>
      </c>
      <c r="F150" s="3"/>
      <c r="G150" t="s">
        <v>273</v>
      </c>
    </row>
    <row r="151" spans="1:7" x14ac:dyDescent="0.2">
      <c r="A151" s="1" t="s">
        <v>137</v>
      </c>
      <c r="C151" s="2" t="s">
        <v>136</v>
      </c>
      <c r="D151" s="3"/>
      <c r="E151" s="3">
        <v>48.51</v>
      </c>
      <c r="F151" s="3">
        <f>E150+E151</f>
        <v>88.85</v>
      </c>
      <c r="G151" t="s">
        <v>273</v>
      </c>
    </row>
    <row r="152" spans="1:7" x14ac:dyDescent="0.2">
      <c r="A152" s="1" t="s">
        <v>138</v>
      </c>
      <c r="C152" s="2" t="s">
        <v>139</v>
      </c>
      <c r="D152" s="3"/>
      <c r="E152" s="3">
        <v>107.36</v>
      </c>
      <c r="F152" s="4">
        <v>107.36</v>
      </c>
    </row>
    <row r="153" spans="1:7" x14ac:dyDescent="0.2">
      <c r="A153" s="2" t="s">
        <v>140</v>
      </c>
      <c r="C153" s="2" t="s">
        <v>141</v>
      </c>
      <c r="D153" s="3"/>
      <c r="E153" s="3">
        <v>50.62</v>
      </c>
      <c r="F153" s="4">
        <v>50.62</v>
      </c>
    </row>
    <row r="154" spans="1:7" x14ac:dyDescent="0.2">
      <c r="A154" s="1" t="s">
        <v>142</v>
      </c>
      <c r="C154" s="2" t="s">
        <v>143</v>
      </c>
      <c r="E154" s="3">
        <v>17.41</v>
      </c>
      <c r="F154" s="3"/>
    </row>
    <row r="155" spans="1:7" x14ac:dyDescent="0.2">
      <c r="A155" s="1" t="s">
        <v>50</v>
      </c>
      <c r="C155" s="2" t="s">
        <v>143</v>
      </c>
      <c r="D155" s="3"/>
      <c r="E155" s="3">
        <v>26.51</v>
      </c>
      <c r="F155" s="3">
        <f>E155+E154</f>
        <v>43.92</v>
      </c>
    </row>
    <row r="156" spans="1:7" x14ac:dyDescent="0.2">
      <c r="A156" s="1" t="s">
        <v>137</v>
      </c>
      <c r="C156" s="2" t="s">
        <v>144</v>
      </c>
      <c r="D156" s="3"/>
      <c r="E156" s="3">
        <v>63.5</v>
      </c>
      <c r="F156" s="4">
        <v>63.5</v>
      </c>
      <c r="G156" t="s">
        <v>274</v>
      </c>
    </row>
    <row r="157" spans="1:7" x14ac:dyDescent="0.2">
      <c r="A157" s="1" t="s">
        <v>145</v>
      </c>
      <c r="C157" s="2" t="s">
        <v>146</v>
      </c>
      <c r="D157" s="3"/>
      <c r="E157" s="3">
        <v>200</v>
      </c>
      <c r="F157" s="4">
        <v>200</v>
      </c>
      <c r="G157" t="s">
        <v>275</v>
      </c>
    </row>
    <row r="158" spans="1:7" x14ac:dyDescent="0.2">
      <c r="A158" s="2" t="s">
        <v>81</v>
      </c>
      <c r="C158" s="2" t="s">
        <v>147</v>
      </c>
      <c r="D158" s="3"/>
      <c r="E158" s="3">
        <v>200</v>
      </c>
      <c r="F158" s="3"/>
    </row>
    <row r="159" spans="1:7" x14ac:dyDescent="0.2">
      <c r="A159" s="2" t="s">
        <v>148</v>
      </c>
      <c r="C159" s="2" t="s">
        <v>147</v>
      </c>
      <c r="D159" s="3"/>
      <c r="E159" s="3">
        <v>150</v>
      </c>
      <c r="F159" s="3"/>
    </row>
    <row r="160" spans="1:7" x14ac:dyDescent="0.2">
      <c r="A160" s="2" t="s">
        <v>86</v>
      </c>
      <c r="C160" s="2" t="s">
        <v>147</v>
      </c>
      <c r="D160" s="3"/>
      <c r="E160" s="3">
        <v>200</v>
      </c>
      <c r="F160" s="3"/>
    </row>
    <row r="161" spans="1:7" x14ac:dyDescent="0.2">
      <c r="A161" s="2" t="s">
        <v>56</v>
      </c>
      <c r="C161" s="2" t="s">
        <v>147</v>
      </c>
      <c r="D161" s="3"/>
      <c r="E161" s="3">
        <v>100</v>
      </c>
      <c r="F161" s="3">
        <f>SUM(E158:E161)</f>
        <v>650</v>
      </c>
    </row>
    <row r="162" spans="1:7" x14ac:dyDescent="0.2">
      <c r="A162" s="1" t="s">
        <v>149</v>
      </c>
      <c r="C162" s="2" t="s">
        <v>150</v>
      </c>
      <c r="D162" s="3"/>
      <c r="E162" s="3">
        <v>90</v>
      </c>
      <c r="F162" s="4">
        <v>90</v>
      </c>
      <c r="G162" t="s">
        <v>274</v>
      </c>
    </row>
    <row r="163" spans="1:7" x14ac:dyDescent="0.2">
      <c r="A163" s="2" t="s">
        <v>86</v>
      </c>
      <c r="C163" s="2" t="s">
        <v>151</v>
      </c>
      <c r="D163" s="3"/>
      <c r="E163" s="3">
        <v>200</v>
      </c>
      <c r="F163" s="4">
        <v>200</v>
      </c>
    </row>
    <row r="164" spans="1:7" x14ac:dyDescent="0.2">
      <c r="A164" s="1" t="s">
        <v>72</v>
      </c>
      <c r="C164" s="2" t="s">
        <v>152</v>
      </c>
      <c r="D164" s="3"/>
      <c r="E164" s="3">
        <v>69.989999999999995</v>
      </c>
      <c r="F164" s="3"/>
    </row>
    <row r="165" spans="1:7" x14ac:dyDescent="0.2">
      <c r="A165" s="1" t="s">
        <v>59</v>
      </c>
      <c r="C165" s="2" t="s">
        <v>152</v>
      </c>
      <c r="D165" s="3"/>
      <c r="E165" s="3">
        <v>69.989999999999995</v>
      </c>
      <c r="F165" s="3"/>
    </row>
    <row r="166" spans="1:7" x14ac:dyDescent="0.2">
      <c r="A166" s="1" t="s">
        <v>130</v>
      </c>
      <c r="C166" s="2" t="s">
        <v>152</v>
      </c>
      <c r="D166" s="3"/>
      <c r="E166" s="3">
        <v>69.989999999999995</v>
      </c>
      <c r="F166" s="3"/>
    </row>
    <row r="167" spans="1:7" x14ac:dyDescent="0.2">
      <c r="A167" s="1" t="s">
        <v>153</v>
      </c>
      <c r="C167" s="2" t="s">
        <v>152</v>
      </c>
      <c r="D167" s="3"/>
      <c r="E167" s="3">
        <v>39.99</v>
      </c>
      <c r="F167" s="3"/>
    </row>
    <row r="168" spans="1:7" x14ac:dyDescent="0.2">
      <c r="A168" s="1" t="s">
        <v>131</v>
      </c>
      <c r="C168" s="2" t="s">
        <v>152</v>
      </c>
      <c r="E168" s="3">
        <v>69.989999999999995</v>
      </c>
      <c r="F168" s="3"/>
    </row>
    <row r="169" spans="1:7" x14ac:dyDescent="0.2">
      <c r="A169" s="1" t="s">
        <v>67</v>
      </c>
      <c r="C169" s="2" t="s">
        <v>152</v>
      </c>
      <c r="E169" s="3">
        <v>39.99</v>
      </c>
      <c r="F169" s="3"/>
    </row>
    <row r="170" spans="1:7" x14ac:dyDescent="0.2">
      <c r="A170" s="1" t="s">
        <v>3</v>
      </c>
      <c r="C170" s="2" t="s">
        <v>152</v>
      </c>
      <c r="D170" s="3"/>
      <c r="E170" s="3">
        <v>69.989999999999995</v>
      </c>
      <c r="F170" s="3"/>
    </row>
    <row r="171" spans="1:7" x14ac:dyDescent="0.2">
      <c r="A171" s="1" t="s">
        <v>154</v>
      </c>
      <c r="C171" s="2" t="s">
        <v>152</v>
      </c>
      <c r="D171" s="3"/>
      <c r="E171" s="3">
        <v>39.99</v>
      </c>
      <c r="F171" s="3"/>
    </row>
    <row r="172" spans="1:7" x14ac:dyDescent="0.2">
      <c r="A172" s="2" t="s">
        <v>155</v>
      </c>
      <c r="C172" s="2" t="s">
        <v>152</v>
      </c>
      <c r="D172" s="3"/>
      <c r="E172" s="3">
        <v>39.99</v>
      </c>
      <c r="F172" s="3"/>
    </row>
    <row r="173" spans="1:7" x14ac:dyDescent="0.2">
      <c r="A173" s="2" t="s">
        <v>55</v>
      </c>
      <c r="C173" s="2" t="s">
        <v>156</v>
      </c>
      <c r="D173" s="3"/>
      <c r="E173" s="3">
        <v>404.91</v>
      </c>
      <c r="F173" s="3"/>
    </row>
    <row r="174" spans="1:7" x14ac:dyDescent="0.2">
      <c r="A174" s="2" t="s">
        <v>157</v>
      </c>
      <c r="C174" s="2" t="s">
        <v>156</v>
      </c>
      <c r="D174" s="3"/>
      <c r="E174" s="3">
        <v>39.99</v>
      </c>
      <c r="F174" s="3">
        <f>SUM(E164:E174)</f>
        <v>954.81000000000006</v>
      </c>
      <c r="G174" t="s">
        <v>276</v>
      </c>
    </row>
    <row r="175" spans="1:7" x14ac:dyDescent="0.2">
      <c r="A175" s="1" t="s">
        <v>158</v>
      </c>
      <c r="C175" s="2" t="s">
        <v>159</v>
      </c>
      <c r="D175" s="3"/>
      <c r="E175" s="3">
        <v>200</v>
      </c>
      <c r="F175" s="4">
        <v>200</v>
      </c>
      <c r="G175" t="s">
        <v>277</v>
      </c>
    </row>
    <row r="176" spans="1:7" x14ac:dyDescent="0.2">
      <c r="A176" s="1" t="s">
        <v>24</v>
      </c>
      <c r="C176" s="2" t="s">
        <v>160</v>
      </c>
      <c r="D176" s="3"/>
      <c r="E176" s="3">
        <v>10</v>
      </c>
      <c r="F176" s="3"/>
      <c r="G176" t="s">
        <v>278</v>
      </c>
    </row>
    <row r="177" spans="1:7" x14ac:dyDescent="0.2">
      <c r="A177" s="1" t="s">
        <v>31</v>
      </c>
      <c r="C177" s="2" t="s">
        <v>160</v>
      </c>
      <c r="D177" s="3"/>
      <c r="E177" s="3">
        <v>10</v>
      </c>
      <c r="F177" s="3"/>
      <c r="G177" t="s">
        <v>278</v>
      </c>
    </row>
    <row r="178" spans="1:7" x14ac:dyDescent="0.2">
      <c r="A178" s="1" t="s">
        <v>137</v>
      </c>
      <c r="C178" s="2" t="s">
        <v>160</v>
      </c>
      <c r="D178" s="3"/>
      <c r="E178" s="3">
        <v>10</v>
      </c>
      <c r="F178" s="3"/>
      <c r="G178" t="s">
        <v>278</v>
      </c>
    </row>
    <row r="179" spans="1:7" x14ac:dyDescent="0.2">
      <c r="A179" s="1" t="s">
        <v>37</v>
      </c>
      <c r="C179" s="2" t="s">
        <v>160</v>
      </c>
      <c r="D179" s="3"/>
      <c r="E179" s="3">
        <v>10</v>
      </c>
      <c r="F179" s="3"/>
      <c r="G179" t="s">
        <v>278</v>
      </c>
    </row>
    <row r="180" spans="1:7" x14ac:dyDescent="0.2">
      <c r="A180" s="1" t="s">
        <v>11</v>
      </c>
      <c r="C180" s="2" t="s">
        <v>160</v>
      </c>
      <c r="D180" s="3"/>
      <c r="E180" s="3">
        <v>10</v>
      </c>
      <c r="F180" s="3"/>
      <c r="G180" t="s">
        <v>278</v>
      </c>
    </row>
    <row r="181" spans="1:7" x14ac:dyDescent="0.2">
      <c r="A181" s="1" t="s">
        <v>161</v>
      </c>
      <c r="C181" s="2" t="s">
        <v>160</v>
      </c>
      <c r="D181" s="3"/>
      <c r="E181" s="3">
        <v>10</v>
      </c>
      <c r="F181" s="3"/>
      <c r="G181" t="s">
        <v>278</v>
      </c>
    </row>
    <row r="182" spans="1:7" x14ac:dyDescent="0.2">
      <c r="A182" s="1" t="s">
        <v>131</v>
      </c>
      <c r="C182" s="2" t="s">
        <v>160</v>
      </c>
      <c r="E182" s="3">
        <v>10</v>
      </c>
      <c r="F182" s="3"/>
      <c r="G182" t="s">
        <v>278</v>
      </c>
    </row>
    <row r="183" spans="1:7" x14ac:dyDescent="0.2">
      <c r="A183" s="1" t="s">
        <v>3</v>
      </c>
      <c r="C183" s="2" t="s">
        <v>160</v>
      </c>
      <c r="D183" s="3"/>
      <c r="E183" s="3">
        <v>10</v>
      </c>
      <c r="F183" s="3">
        <f>SUM(E176:E183)</f>
        <v>80</v>
      </c>
      <c r="G183" t="s">
        <v>279</v>
      </c>
    </row>
    <row r="184" spans="1:7" x14ac:dyDescent="0.2">
      <c r="A184" s="1" t="s">
        <v>162</v>
      </c>
      <c r="B184" s="5"/>
      <c r="C184" s="5" t="s">
        <v>163</v>
      </c>
      <c r="D184" s="5"/>
      <c r="E184" s="3">
        <v>39.03</v>
      </c>
      <c r="F184" s="4">
        <v>39.03</v>
      </c>
    </row>
    <row r="185" spans="1:7" x14ac:dyDescent="0.2">
      <c r="A185" s="1" t="s">
        <v>106</v>
      </c>
      <c r="C185" s="5" t="s">
        <v>164</v>
      </c>
      <c r="D185" s="3"/>
      <c r="E185" s="3">
        <v>49.95</v>
      </c>
      <c r="F185" s="4">
        <v>49.95</v>
      </c>
      <c r="G185" t="s">
        <v>274</v>
      </c>
    </row>
    <row r="186" spans="1:7" x14ac:dyDescent="0.2">
      <c r="A186" s="1" t="s">
        <v>90</v>
      </c>
      <c r="C186" s="5" t="s">
        <v>165</v>
      </c>
      <c r="E186" s="3">
        <v>14.99</v>
      </c>
      <c r="F186" s="4">
        <v>14.99</v>
      </c>
      <c r="G186" t="s">
        <v>274</v>
      </c>
    </row>
    <row r="187" spans="1:7" x14ac:dyDescent="0.2">
      <c r="A187" s="1" t="s">
        <v>3</v>
      </c>
      <c r="C187" s="5" t="s">
        <v>166</v>
      </c>
      <c r="D187" s="3"/>
      <c r="E187" s="3">
        <v>13.19</v>
      </c>
      <c r="F187" s="4">
        <v>13.19</v>
      </c>
      <c r="G187" t="s">
        <v>274</v>
      </c>
    </row>
    <row r="188" spans="1:7" x14ac:dyDescent="0.2">
      <c r="A188" s="1" t="s">
        <v>72</v>
      </c>
      <c r="C188" s="5" t="s">
        <v>167</v>
      </c>
      <c r="D188" s="3"/>
      <c r="E188" s="3">
        <v>1000</v>
      </c>
      <c r="F188" s="3"/>
      <c r="G188" t="s">
        <v>274</v>
      </c>
    </row>
    <row r="189" spans="1:7" x14ac:dyDescent="0.2">
      <c r="A189" s="1" t="s">
        <v>168</v>
      </c>
      <c r="C189" s="5" t="s">
        <v>167</v>
      </c>
      <c r="D189" s="3"/>
      <c r="E189" s="3">
        <v>500</v>
      </c>
      <c r="F189" s="3"/>
      <c r="G189" t="s">
        <v>274</v>
      </c>
    </row>
    <row r="190" spans="1:7" x14ac:dyDescent="0.2">
      <c r="A190" s="1" t="s">
        <v>104</v>
      </c>
      <c r="C190" s="5" t="s">
        <v>167</v>
      </c>
      <c r="D190" s="3"/>
      <c r="E190" s="3">
        <v>500</v>
      </c>
      <c r="F190" s="3"/>
      <c r="G190" t="s">
        <v>274</v>
      </c>
    </row>
    <row r="191" spans="1:7" x14ac:dyDescent="0.2">
      <c r="A191" s="1" t="s">
        <v>59</v>
      </c>
      <c r="C191" s="5" t="s">
        <v>167</v>
      </c>
      <c r="D191" s="3"/>
      <c r="E191" s="3">
        <v>500</v>
      </c>
      <c r="F191" s="3"/>
      <c r="G191" t="s">
        <v>274</v>
      </c>
    </row>
    <row r="192" spans="1:7" x14ac:dyDescent="0.2">
      <c r="A192" s="1" t="s">
        <v>59</v>
      </c>
      <c r="C192" s="5" t="s">
        <v>167</v>
      </c>
      <c r="D192" s="3"/>
      <c r="E192" s="3">
        <v>500</v>
      </c>
      <c r="F192" s="3"/>
      <c r="G192" t="s">
        <v>274</v>
      </c>
    </row>
    <row r="193" spans="1:7" x14ac:dyDescent="0.2">
      <c r="A193" s="1" t="s">
        <v>169</v>
      </c>
      <c r="C193" s="5" t="s">
        <v>167</v>
      </c>
      <c r="D193" s="3"/>
      <c r="E193" s="3">
        <v>300</v>
      </c>
      <c r="F193" s="3"/>
      <c r="G193" t="s">
        <v>274</v>
      </c>
    </row>
    <row r="194" spans="1:7" x14ac:dyDescent="0.2">
      <c r="A194" s="1" t="s">
        <v>158</v>
      </c>
      <c r="C194" s="5" t="s">
        <v>167</v>
      </c>
      <c r="D194" s="3"/>
      <c r="E194" s="3">
        <v>1000</v>
      </c>
      <c r="F194" s="3"/>
      <c r="G194" t="s">
        <v>274</v>
      </c>
    </row>
    <row r="195" spans="1:7" x14ac:dyDescent="0.2">
      <c r="A195" s="1" t="s">
        <v>158</v>
      </c>
      <c r="C195" s="5" t="s">
        <v>167</v>
      </c>
      <c r="D195" s="3"/>
      <c r="E195" s="3">
        <v>500</v>
      </c>
      <c r="F195" s="3"/>
      <c r="G195" t="s">
        <v>274</v>
      </c>
    </row>
    <row r="196" spans="1:7" x14ac:dyDescent="0.2">
      <c r="A196" s="1" t="s">
        <v>32</v>
      </c>
      <c r="C196" s="5" t="s">
        <v>167</v>
      </c>
      <c r="D196" s="3"/>
      <c r="E196" s="3">
        <v>1000</v>
      </c>
      <c r="F196" s="3"/>
      <c r="G196" t="s">
        <v>274</v>
      </c>
    </row>
    <row r="197" spans="1:7" x14ac:dyDescent="0.2">
      <c r="A197" s="1" t="s">
        <v>33</v>
      </c>
      <c r="C197" s="5" t="s">
        <v>167</v>
      </c>
      <c r="D197" s="3"/>
      <c r="E197" s="3">
        <v>500</v>
      </c>
      <c r="F197" s="3"/>
      <c r="G197" t="s">
        <v>274</v>
      </c>
    </row>
    <row r="198" spans="1:7" x14ac:dyDescent="0.2">
      <c r="A198" s="1" t="s">
        <v>8</v>
      </c>
      <c r="C198" s="5" t="s">
        <v>167</v>
      </c>
      <c r="D198" s="3"/>
      <c r="E198" s="3">
        <v>200</v>
      </c>
      <c r="F198" s="3"/>
      <c r="G198" t="s">
        <v>274</v>
      </c>
    </row>
    <row r="199" spans="1:7" x14ac:dyDescent="0.2">
      <c r="A199" s="1" t="s">
        <v>34</v>
      </c>
      <c r="C199" s="5" t="s">
        <v>167</v>
      </c>
      <c r="D199" s="3"/>
      <c r="E199" s="3">
        <v>1000</v>
      </c>
      <c r="F199" s="3"/>
      <c r="G199" t="s">
        <v>274</v>
      </c>
    </row>
    <row r="200" spans="1:7" x14ac:dyDescent="0.2">
      <c r="A200" s="1" t="s">
        <v>137</v>
      </c>
      <c r="C200" s="5" t="s">
        <v>167</v>
      </c>
      <c r="D200" s="3"/>
      <c r="E200" s="3">
        <v>500</v>
      </c>
      <c r="F200" s="3"/>
      <c r="G200" t="s">
        <v>274</v>
      </c>
    </row>
    <row r="201" spans="1:7" x14ac:dyDescent="0.2">
      <c r="A201" s="1" t="s">
        <v>9</v>
      </c>
      <c r="C201" s="5" t="s">
        <v>167</v>
      </c>
      <c r="D201" s="3"/>
      <c r="E201" s="3">
        <v>1000</v>
      </c>
      <c r="F201" s="3"/>
      <c r="G201" t="s">
        <v>274</v>
      </c>
    </row>
    <row r="202" spans="1:7" x14ac:dyDescent="0.2">
      <c r="A202" s="1" t="s">
        <v>10</v>
      </c>
      <c r="C202" s="5" t="s">
        <v>167</v>
      </c>
      <c r="D202" s="3"/>
      <c r="E202" s="3">
        <v>300</v>
      </c>
      <c r="F202" s="3"/>
      <c r="G202" t="s">
        <v>274</v>
      </c>
    </row>
    <row r="203" spans="1:7" x14ac:dyDescent="0.2">
      <c r="A203" s="1" t="s">
        <v>107</v>
      </c>
      <c r="C203" s="5" t="s">
        <v>167</v>
      </c>
      <c r="D203" s="3"/>
      <c r="E203" s="3">
        <v>1000</v>
      </c>
      <c r="F203" s="3"/>
      <c r="G203" t="s">
        <v>274</v>
      </c>
    </row>
    <row r="204" spans="1:7" x14ac:dyDescent="0.2">
      <c r="A204" s="1" t="s">
        <v>170</v>
      </c>
      <c r="C204" s="5" t="s">
        <v>167</v>
      </c>
      <c r="D204" s="3"/>
      <c r="E204" s="3">
        <v>1000</v>
      </c>
      <c r="F204" s="3"/>
      <c r="G204" t="s">
        <v>274</v>
      </c>
    </row>
    <row r="205" spans="1:7" x14ac:dyDescent="0.2">
      <c r="A205" s="1" t="s">
        <v>76</v>
      </c>
      <c r="C205" s="5" t="s">
        <v>167</v>
      </c>
      <c r="D205" s="3"/>
      <c r="E205" s="3">
        <v>1000</v>
      </c>
      <c r="F205" s="3"/>
      <c r="G205" t="s">
        <v>274</v>
      </c>
    </row>
    <row r="206" spans="1:7" x14ac:dyDescent="0.2">
      <c r="A206" s="1" t="s">
        <v>171</v>
      </c>
      <c r="C206" s="2" t="s">
        <v>167</v>
      </c>
      <c r="D206" s="3"/>
      <c r="E206" s="3">
        <v>900</v>
      </c>
      <c r="F206" s="3"/>
      <c r="G206" t="s">
        <v>274</v>
      </c>
    </row>
    <row r="207" spans="1:7" x14ac:dyDescent="0.2">
      <c r="A207" s="1" t="s">
        <v>51</v>
      </c>
      <c r="C207" s="2" t="s">
        <v>167</v>
      </c>
      <c r="D207" s="3"/>
      <c r="E207" s="3">
        <v>950</v>
      </c>
      <c r="F207" s="3"/>
      <c r="G207" t="s">
        <v>274</v>
      </c>
    </row>
    <row r="208" spans="1:7" x14ac:dyDescent="0.2">
      <c r="A208" s="1" t="s">
        <v>172</v>
      </c>
      <c r="C208" s="2" t="s">
        <v>167</v>
      </c>
      <c r="D208" s="3"/>
      <c r="E208" s="3">
        <v>50</v>
      </c>
      <c r="F208" s="3"/>
      <c r="G208" t="s">
        <v>274</v>
      </c>
    </row>
    <row r="209" spans="1:7" x14ac:dyDescent="0.2">
      <c r="A209" s="1" t="s">
        <v>173</v>
      </c>
      <c r="C209" s="2" t="s">
        <v>167</v>
      </c>
      <c r="D209" s="3"/>
      <c r="E209" s="3">
        <v>500</v>
      </c>
      <c r="F209" s="3"/>
      <c r="G209" t="s">
        <v>274</v>
      </c>
    </row>
    <row r="210" spans="1:7" x14ac:dyDescent="0.2">
      <c r="A210" s="1" t="s">
        <v>173</v>
      </c>
      <c r="C210" s="2" t="s">
        <v>167</v>
      </c>
      <c r="D210" s="3"/>
      <c r="E210" s="3">
        <v>1000</v>
      </c>
      <c r="F210" s="3"/>
      <c r="G210" t="s">
        <v>274</v>
      </c>
    </row>
    <row r="211" spans="1:7" x14ac:dyDescent="0.2">
      <c r="A211" s="1" t="s">
        <v>130</v>
      </c>
      <c r="C211" s="2" t="s">
        <v>167</v>
      </c>
      <c r="D211" s="3"/>
      <c r="E211" s="3">
        <v>150</v>
      </c>
      <c r="F211" s="3"/>
      <c r="G211" t="s">
        <v>274</v>
      </c>
    </row>
    <row r="212" spans="1:7" x14ac:dyDescent="0.2">
      <c r="A212" s="1" t="s">
        <v>161</v>
      </c>
      <c r="C212" s="2" t="s">
        <v>167</v>
      </c>
      <c r="D212" s="3"/>
      <c r="E212" s="3">
        <v>50</v>
      </c>
      <c r="F212" s="3"/>
      <c r="G212" t="s">
        <v>274</v>
      </c>
    </row>
    <row r="213" spans="1:7" x14ac:dyDescent="0.2">
      <c r="A213" s="1" t="s">
        <v>174</v>
      </c>
      <c r="C213" s="2" t="s">
        <v>167</v>
      </c>
      <c r="D213" s="3"/>
      <c r="E213" s="3">
        <v>1000</v>
      </c>
      <c r="F213" s="3"/>
      <c r="G213" t="s">
        <v>274</v>
      </c>
    </row>
    <row r="214" spans="1:7" x14ac:dyDescent="0.2">
      <c r="A214" s="1" t="s">
        <v>174</v>
      </c>
      <c r="C214" s="2" t="s">
        <v>167</v>
      </c>
      <c r="D214" s="3"/>
      <c r="E214" s="3">
        <v>500</v>
      </c>
      <c r="F214" s="3"/>
      <c r="G214" t="s">
        <v>274</v>
      </c>
    </row>
    <row r="215" spans="1:7" x14ac:dyDescent="0.2">
      <c r="A215" s="1" t="s">
        <v>175</v>
      </c>
      <c r="C215" s="2" t="s">
        <v>167</v>
      </c>
      <c r="D215" s="3"/>
      <c r="E215" s="3">
        <v>800</v>
      </c>
      <c r="F215" s="3"/>
      <c r="G215" t="s">
        <v>274</v>
      </c>
    </row>
    <row r="216" spans="1:7" x14ac:dyDescent="0.2">
      <c r="A216" s="1" t="s">
        <v>176</v>
      </c>
      <c r="C216" s="2" t="s">
        <v>167</v>
      </c>
      <c r="D216" s="3"/>
      <c r="E216" s="3">
        <v>200</v>
      </c>
      <c r="F216" s="3"/>
      <c r="G216" t="s">
        <v>274</v>
      </c>
    </row>
    <row r="217" spans="1:7" x14ac:dyDescent="0.2">
      <c r="A217" s="1" t="s">
        <v>131</v>
      </c>
      <c r="C217" s="2" t="s">
        <v>167</v>
      </c>
      <c r="E217" s="3">
        <v>150</v>
      </c>
      <c r="F217" s="3"/>
      <c r="G217" t="s">
        <v>274</v>
      </c>
    </row>
    <row r="218" spans="1:7" x14ac:dyDescent="0.2">
      <c r="A218" s="1" t="s">
        <v>67</v>
      </c>
      <c r="C218" s="2" t="s">
        <v>167</v>
      </c>
      <c r="E218" s="3">
        <v>1000</v>
      </c>
      <c r="F218" s="3"/>
      <c r="G218" t="s">
        <v>274</v>
      </c>
    </row>
    <row r="219" spans="1:7" x14ac:dyDescent="0.2">
      <c r="A219" s="1" t="s">
        <v>177</v>
      </c>
      <c r="C219" s="2" t="s">
        <v>167</v>
      </c>
      <c r="E219" s="3">
        <v>500</v>
      </c>
      <c r="F219" s="3"/>
      <c r="G219" t="s">
        <v>274</v>
      </c>
    </row>
    <row r="220" spans="1:7" x14ac:dyDescent="0.2">
      <c r="A220" s="1" t="s">
        <v>178</v>
      </c>
      <c r="C220" s="2" t="s">
        <v>167</v>
      </c>
      <c r="E220" s="3">
        <v>75</v>
      </c>
      <c r="F220" s="3"/>
      <c r="G220" t="s">
        <v>274</v>
      </c>
    </row>
    <row r="221" spans="1:7" x14ac:dyDescent="0.2">
      <c r="A221" s="1" t="s">
        <v>179</v>
      </c>
      <c r="C221" s="2" t="s">
        <v>167</v>
      </c>
      <c r="D221" s="3"/>
      <c r="E221" s="3">
        <v>50</v>
      </c>
      <c r="F221" s="3"/>
      <c r="G221" t="s">
        <v>274</v>
      </c>
    </row>
    <row r="222" spans="1:7" x14ac:dyDescent="0.2">
      <c r="A222" s="1" t="s">
        <v>179</v>
      </c>
      <c r="C222" s="2" t="s">
        <v>167</v>
      </c>
      <c r="D222" s="3"/>
      <c r="E222" s="3">
        <v>1000</v>
      </c>
      <c r="F222" s="3"/>
      <c r="G222" t="s">
        <v>274</v>
      </c>
    </row>
    <row r="223" spans="1:7" x14ac:dyDescent="0.2">
      <c r="A223" s="1" t="s">
        <v>180</v>
      </c>
      <c r="C223" s="2" t="s">
        <v>167</v>
      </c>
      <c r="D223" s="3"/>
      <c r="E223" s="3">
        <v>1000</v>
      </c>
      <c r="F223" s="3">
        <f>SUM(E188:E223)</f>
        <v>22175</v>
      </c>
      <c r="G223" t="s">
        <v>274</v>
      </c>
    </row>
    <row r="224" spans="1:7" x14ac:dyDescent="0.2">
      <c r="A224" s="1" t="s">
        <v>59</v>
      </c>
      <c r="C224" s="2" t="s">
        <v>181</v>
      </c>
      <c r="D224" s="3"/>
      <c r="E224" s="3">
        <v>200</v>
      </c>
      <c r="F224" s="3"/>
      <c r="G224" t="s">
        <v>277</v>
      </c>
    </row>
    <row r="225" spans="1:7" x14ac:dyDescent="0.2">
      <c r="A225" s="1" t="s">
        <v>29</v>
      </c>
      <c r="C225" s="2" t="s">
        <v>181</v>
      </c>
      <c r="D225" s="3"/>
      <c r="E225" s="3">
        <v>200</v>
      </c>
      <c r="F225" s="3">
        <f>SUM(E224:E225)</f>
        <v>400</v>
      </c>
      <c r="G225" t="s">
        <v>277</v>
      </c>
    </row>
    <row r="226" spans="1:7" x14ac:dyDescent="0.2">
      <c r="A226" s="1" t="s">
        <v>59</v>
      </c>
      <c r="C226" s="2" t="s">
        <v>182</v>
      </c>
      <c r="D226" s="3"/>
      <c r="E226" s="3">
        <v>130.35</v>
      </c>
      <c r="F226" s="3"/>
      <c r="G226" t="s">
        <v>280</v>
      </c>
    </row>
    <row r="227" spans="1:7" x14ac:dyDescent="0.2">
      <c r="A227" s="1" t="s">
        <v>183</v>
      </c>
      <c r="C227" s="2" t="s">
        <v>182</v>
      </c>
      <c r="D227" s="3"/>
      <c r="E227" s="3">
        <v>82.43</v>
      </c>
      <c r="F227" s="3"/>
      <c r="G227" t="s">
        <v>280</v>
      </c>
    </row>
    <row r="228" spans="1:7" x14ac:dyDescent="0.2">
      <c r="A228" s="1" t="s">
        <v>50</v>
      </c>
      <c r="C228" s="2" t="s">
        <v>182</v>
      </c>
      <c r="D228" s="3"/>
      <c r="E228" s="3">
        <v>21</v>
      </c>
      <c r="F228" s="3"/>
      <c r="G228" t="s">
        <v>280</v>
      </c>
    </row>
    <row r="229" spans="1:7" x14ac:dyDescent="0.2">
      <c r="A229" s="1" t="s">
        <v>50</v>
      </c>
      <c r="C229" s="2" t="s">
        <v>182</v>
      </c>
      <c r="D229" s="3"/>
      <c r="E229" s="3">
        <v>201.59</v>
      </c>
      <c r="F229" s="3">
        <f>SUM(E226:E229)</f>
        <v>435.37</v>
      </c>
      <c r="G229" t="s">
        <v>280</v>
      </c>
    </row>
    <row r="230" spans="1:7" x14ac:dyDescent="0.2">
      <c r="A230" s="1" t="s">
        <v>184</v>
      </c>
      <c r="C230" s="2" t="s">
        <v>185</v>
      </c>
      <c r="D230" s="3"/>
      <c r="E230" s="3">
        <v>49</v>
      </c>
      <c r="F230" s="3"/>
    </row>
    <row r="231" spans="1:7" x14ac:dyDescent="0.2">
      <c r="A231" s="1" t="s">
        <v>186</v>
      </c>
      <c r="C231" s="2" t="s">
        <v>185</v>
      </c>
      <c r="D231" s="5"/>
      <c r="E231" s="3">
        <v>17.5</v>
      </c>
      <c r="F231" s="3">
        <f>E231+E230</f>
        <v>66.5</v>
      </c>
      <c r="G231" t="s">
        <v>274</v>
      </c>
    </row>
    <row r="232" spans="1:7" x14ac:dyDescent="0.2">
      <c r="A232" s="1" t="s">
        <v>0</v>
      </c>
      <c r="C232" s="2" t="s">
        <v>187</v>
      </c>
      <c r="D232" s="3"/>
      <c r="E232" s="3">
        <v>138</v>
      </c>
      <c r="F232" s="4">
        <v>138</v>
      </c>
    </row>
    <row r="233" spans="1:7" x14ac:dyDescent="0.2">
      <c r="A233" s="1" t="s">
        <v>13</v>
      </c>
      <c r="C233" s="2" t="s">
        <v>188</v>
      </c>
      <c r="D233" s="3"/>
      <c r="E233" s="3">
        <v>4</v>
      </c>
      <c r="F233" s="3"/>
    </row>
    <row r="234" spans="1:7" x14ac:dyDescent="0.2">
      <c r="A234" s="1" t="s">
        <v>0</v>
      </c>
      <c r="C234" s="2" t="s">
        <v>188</v>
      </c>
      <c r="D234" s="3"/>
      <c r="E234" s="3">
        <v>4</v>
      </c>
      <c r="F234" s="3"/>
    </row>
    <row r="235" spans="1:7" x14ac:dyDescent="0.2">
      <c r="A235" s="2" t="s">
        <v>79</v>
      </c>
      <c r="C235" s="2" t="s">
        <v>188</v>
      </c>
      <c r="D235" s="3"/>
      <c r="E235" s="3">
        <v>4</v>
      </c>
      <c r="F235" s="3"/>
    </row>
    <row r="236" spans="1:7" x14ac:dyDescent="0.2">
      <c r="A236" s="2" t="s">
        <v>5</v>
      </c>
      <c r="C236" s="2" t="s">
        <v>188</v>
      </c>
      <c r="D236" s="3"/>
      <c r="E236" s="3">
        <v>4</v>
      </c>
      <c r="F236" s="4">
        <v>16</v>
      </c>
    </row>
    <row r="237" spans="1:7" x14ac:dyDescent="0.2">
      <c r="A237" s="1" t="s">
        <v>189</v>
      </c>
      <c r="C237" s="2" t="s">
        <v>190</v>
      </c>
      <c r="D237" s="3"/>
      <c r="E237" s="3">
        <v>83.5</v>
      </c>
      <c r="F237" s="4">
        <v>83.5</v>
      </c>
      <c r="G237" t="s">
        <v>274</v>
      </c>
    </row>
    <row r="238" spans="1:7" x14ac:dyDescent="0.2">
      <c r="A238" s="1" t="s">
        <v>3</v>
      </c>
      <c r="C238" s="2" t="s">
        <v>191</v>
      </c>
      <c r="D238" s="3"/>
      <c r="E238" s="3">
        <v>1</v>
      </c>
      <c r="F238" s="4">
        <v>1</v>
      </c>
    </row>
    <row r="239" spans="1:7" x14ac:dyDescent="0.2">
      <c r="A239" s="1" t="s">
        <v>23</v>
      </c>
      <c r="C239" s="2" t="s">
        <v>192</v>
      </c>
      <c r="D239" s="3"/>
      <c r="E239" s="3">
        <v>25</v>
      </c>
      <c r="F239" s="3"/>
      <c r="G239" t="s">
        <v>274</v>
      </c>
    </row>
    <row r="240" spans="1:7" x14ac:dyDescent="0.2">
      <c r="A240" s="1" t="s">
        <v>127</v>
      </c>
      <c r="C240" s="2" t="s">
        <v>192</v>
      </c>
      <c r="D240" s="3"/>
      <c r="E240" s="3">
        <v>25</v>
      </c>
      <c r="F240" s="3"/>
      <c r="G240" t="s">
        <v>274</v>
      </c>
    </row>
    <row r="241" spans="1:7" x14ac:dyDescent="0.2">
      <c r="A241" s="1" t="s">
        <v>6</v>
      </c>
      <c r="C241" s="2" t="s">
        <v>192</v>
      </c>
      <c r="D241" s="3"/>
      <c r="E241" s="3">
        <v>25</v>
      </c>
      <c r="F241" s="3"/>
      <c r="G241" t="s">
        <v>274</v>
      </c>
    </row>
    <row r="242" spans="1:7" x14ac:dyDescent="0.2">
      <c r="A242" s="1" t="s">
        <v>131</v>
      </c>
      <c r="C242" s="2" t="s">
        <v>192</v>
      </c>
      <c r="E242" s="3">
        <v>25</v>
      </c>
      <c r="F242" s="3"/>
      <c r="G242" t="s">
        <v>274</v>
      </c>
    </row>
    <row r="243" spans="1:7" x14ac:dyDescent="0.2">
      <c r="A243" s="2" t="s">
        <v>193</v>
      </c>
      <c r="C243" s="2" t="s">
        <v>194</v>
      </c>
      <c r="D243" s="3"/>
      <c r="E243" s="3">
        <v>300</v>
      </c>
      <c r="F243" s="3"/>
      <c r="G243" t="s">
        <v>274</v>
      </c>
    </row>
    <row r="244" spans="1:7" x14ac:dyDescent="0.2">
      <c r="A244" s="1" t="s">
        <v>179</v>
      </c>
      <c r="C244" s="2" t="s">
        <v>195</v>
      </c>
      <c r="D244" s="3"/>
      <c r="E244" s="3">
        <v>25</v>
      </c>
      <c r="F244" s="3"/>
      <c r="G244" t="s">
        <v>274</v>
      </c>
    </row>
    <row r="245" spans="1:7" x14ac:dyDescent="0.2">
      <c r="A245" s="2" t="s">
        <v>196</v>
      </c>
      <c r="C245" s="2" t="s">
        <v>197</v>
      </c>
      <c r="D245" s="3"/>
      <c r="E245" s="3">
        <v>25</v>
      </c>
      <c r="F245" s="3"/>
      <c r="G245" t="s">
        <v>274</v>
      </c>
    </row>
    <row r="246" spans="1:7" x14ac:dyDescent="0.2">
      <c r="A246" s="1" t="s">
        <v>198</v>
      </c>
      <c r="C246" s="2" t="s">
        <v>199</v>
      </c>
      <c r="D246" s="3"/>
      <c r="E246" s="3">
        <v>45</v>
      </c>
      <c r="F246" s="3"/>
      <c r="G246" t="s">
        <v>274</v>
      </c>
    </row>
    <row r="247" spans="1:7" x14ac:dyDescent="0.2">
      <c r="A247" s="1" t="s">
        <v>200</v>
      </c>
      <c r="C247" s="2" t="s">
        <v>201</v>
      </c>
      <c r="D247" s="3"/>
      <c r="E247" s="3">
        <v>25</v>
      </c>
      <c r="F247" s="3"/>
      <c r="G247" t="s">
        <v>274</v>
      </c>
    </row>
    <row r="248" spans="1:7" x14ac:dyDescent="0.2">
      <c r="A248" s="1" t="s">
        <v>202</v>
      </c>
      <c r="C248" s="2" t="s">
        <v>203</v>
      </c>
      <c r="D248" s="3"/>
      <c r="E248" s="3">
        <v>25</v>
      </c>
      <c r="F248" s="3"/>
      <c r="G248" t="s">
        <v>274</v>
      </c>
    </row>
    <row r="249" spans="1:7" x14ac:dyDescent="0.2">
      <c r="A249" s="1" t="s">
        <v>204</v>
      </c>
      <c r="C249" s="2" t="s">
        <v>201</v>
      </c>
      <c r="D249" s="3"/>
      <c r="E249" s="3">
        <v>10</v>
      </c>
      <c r="F249" s="3"/>
      <c r="G249" t="s">
        <v>274</v>
      </c>
    </row>
    <row r="250" spans="1:7" x14ac:dyDescent="0.2">
      <c r="A250" s="2" t="s">
        <v>81</v>
      </c>
      <c r="C250" s="2" t="s">
        <v>201</v>
      </c>
      <c r="D250" s="3"/>
      <c r="E250" s="3">
        <v>25</v>
      </c>
      <c r="F250" s="3"/>
      <c r="G250" t="s">
        <v>274</v>
      </c>
    </row>
    <row r="251" spans="1:7" x14ac:dyDescent="0.2">
      <c r="A251" s="2" t="s">
        <v>79</v>
      </c>
      <c r="C251" s="2" t="s">
        <v>201</v>
      </c>
      <c r="D251" s="3"/>
      <c r="E251" s="3">
        <v>10</v>
      </c>
      <c r="F251" s="3"/>
      <c r="G251" t="s">
        <v>274</v>
      </c>
    </row>
    <row r="252" spans="1:7" x14ac:dyDescent="0.2">
      <c r="A252" s="2" t="s">
        <v>5</v>
      </c>
      <c r="C252" s="2" t="s">
        <v>201</v>
      </c>
      <c r="D252" s="3"/>
      <c r="E252" s="3">
        <v>10</v>
      </c>
      <c r="F252" s="3">
        <f>SUM(E239:E252)</f>
        <v>600</v>
      </c>
      <c r="G252" t="s">
        <v>274</v>
      </c>
    </row>
    <row r="253" spans="1:7" x14ac:dyDescent="0.2">
      <c r="A253" s="1" t="s">
        <v>122</v>
      </c>
      <c r="C253" s="2" t="s">
        <v>205</v>
      </c>
      <c r="D253" s="3"/>
      <c r="E253" s="3">
        <v>5.99</v>
      </c>
      <c r="F253" s="3"/>
      <c r="G253" t="s">
        <v>274</v>
      </c>
    </row>
    <row r="254" spans="1:7" x14ac:dyDescent="0.2">
      <c r="A254" s="1" t="s">
        <v>206</v>
      </c>
      <c r="C254" s="2" t="s">
        <v>205</v>
      </c>
      <c r="D254" s="3"/>
      <c r="E254" s="3">
        <v>0.95</v>
      </c>
      <c r="F254" s="3"/>
      <c r="G254" t="s">
        <v>274</v>
      </c>
    </row>
    <row r="255" spans="1:7" x14ac:dyDescent="0.2">
      <c r="A255" s="1" t="s">
        <v>43</v>
      </c>
      <c r="C255" s="5" t="s">
        <v>205</v>
      </c>
      <c r="D255" s="3"/>
      <c r="E255" s="3">
        <v>39.950000000000003</v>
      </c>
      <c r="F255" s="3"/>
      <c r="G255" t="s">
        <v>274</v>
      </c>
    </row>
    <row r="256" spans="1:7" x14ac:dyDescent="0.2">
      <c r="A256" s="1" t="s">
        <v>207</v>
      </c>
      <c r="C256" s="2" t="s">
        <v>205</v>
      </c>
      <c r="D256" s="3"/>
      <c r="E256" s="3">
        <v>39.950000000000003</v>
      </c>
      <c r="F256" s="3"/>
      <c r="G256" t="s">
        <v>274</v>
      </c>
    </row>
    <row r="257" spans="1:7" x14ac:dyDescent="0.2">
      <c r="A257" s="1" t="s">
        <v>208</v>
      </c>
      <c r="C257" s="2" t="s">
        <v>205</v>
      </c>
      <c r="D257" s="3"/>
      <c r="E257" s="3">
        <v>39.950000000000003</v>
      </c>
      <c r="F257" s="3"/>
      <c r="G257" t="s">
        <v>274</v>
      </c>
    </row>
    <row r="258" spans="1:7" x14ac:dyDescent="0.2">
      <c r="A258" s="1" t="s">
        <v>209</v>
      </c>
      <c r="C258" s="2" t="s">
        <v>205</v>
      </c>
      <c r="D258" s="3"/>
      <c r="E258" s="3">
        <v>6.95</v>
      </c>
      <c r="F258" s="3"/>
      <c r="G258" t="s">
        <v>274</v>
      </c>
    </row>
    <row r="259" spans="1:7" x14ac:dyDescent="0.2">
      <c r="A259" s="1" t="s">
        <v>90</v>
      </c>
      <c r="C259" s="2" t="s">
        <v>205</v>
      </c>
      <c r="E259" s="4">
        <v>6.95</v>
      </c>
      <c r="F259" s="3">
        <f>SUM(E253:E259)</f>
        <v>140.69</v>
      </c>
      <c r="G259" t="s">
        <v>274</v>
      </c>
    </row>
    <row r="260" spans="1:7" x14ac:dyDescent="0.2">
      <c r="A260" s="1" t="s">
        <v>138</v>
      </c>
      <c r="C260" s="2" t="s">
        <v>210</v>
      </c>
      <c r="D260" s="3"/>
      <c r="E260" s="3">
        <v>300</v>
      </c>
      <c r="F260" s="4">
        <v>300</v>
      </c>
      <c r="G260" t="s">
        <v>281</v>
      </c>
    </row>
    <row r="261" spans="1:7" x14ac:dyDescent="0.2">
      <c r="A261" s="1" t="s">
        <v>88</v>
      </c>
      <c r="C261" s="2" t="s">
        <v>211</v>
      </c>
      <c r="D261" s="3"/>
      <c r="E261" s="3">
        <v>111.99</v>
      </c>
      <c r="F261" s="4">
        <v>111.99</v>
      </c>
      <c r="G261" t="s">
        <v>282</v>
      </c>
    </row>
    <row r="262" spans="1:7" x14ac:dyDescent="0.2">
      <c r="A262" s="2" t="s">
        <v>56</v>
      </c>
      <c r="C262" s="2" t="s">
        <v>212</v>
      </c>
      <c r="D262" s="3"/>
      <c r="E262" s="3">
        <v>150</v>
      </c>
      <c r="F262" s="4">
        <v>150</v>
      </c>
      <c r="G262" t="s">
        <v>274</v>
      </c>
    </row>
    <row r="263" spans="1:7" x14ac:dyDescent="0.2">
      <c r="A263" s="1" t="s">
        <v>72</v>
      </c>
      <c r="C263" s="2" t="s">
        <v>213</v>
      </c>
      <c r="D263" s="3"/>
      <c r="E263" s="3">
        <v>50</v>
      </c>
      <c r="F263" s="4">
        <v>50</v>
      </c>
      <c r="G263" t="s">
        <v>273</v>
      </c>
    </row>
    <row r="264" spans="1:7" x14ac:dyDescent="0.2">
      <c r="A264" s="1" t="s">
        <v>214</v>
      </c>
      <c r="C264" s="2" t="s">
        <v>215</v>
      </c>
      <c r="D264" s="3"/>
      <c r="E264" s="3">
        <v>3.98</v>
      </c>
      <c r="F264" s="3"/>
      <c r="G264" t="s">
        <v>273</v>
      </c>
    </row>
    <row r="265" spans="1:7" x14ac:dyDescent="0.2">
      <c r="A265" s="1" t="s">
        <v>27</v>
      </c>
      <c r="C265" s="2" t="s">
        <v>215</v>
      </c>
      <c r="D265" s="3"/>
      <c r="E265" s="3">
        <v>3.94</v>
      </c>
      <c r="F265" s="3"/>
      <c r="G265" t="s">
        <v>273</v>
      </c>
    </row>
    <row r="266" spans="1:7" x14ac:dyDescent="0.2">
      <c r="A266" s="1" t="s">
        <v>216</v>
      </c>
      <c r="C266" s="2" t="s">
        <v>215</v>
      </c>
      <c r="D266" s="3"/>
      <c r="E266" s="3">
        <v>3.97</v>
      </c>
      <c r="F266" s="3"/>
      <c r="G266" t="s">
        <v>273</v>
      </c>
    </row>
    <row r="267" spans="1:7" x14ac:dyDescent="0.2">
      <c r="A267" s="1" t="s">
        <v>88</v>
      </c>
      <c r="C267" s="2" t="s">
        <v>215</v>
      </c>
      <c r="D267" s="3"/>
      <c r="E267" s="3">
        <v>3.94</v>
      </c>
      <c r="F267" s="3"/>
      <c r="G267" t="s">
        <v>273</v>
      </c>
    </row>
    <row r="268" spans="1:7" x14ac:dyDescent="0.2">
      <c r="A268" s="1" t="s">
        <v>46</v>
      </c>
      <c r="C268" s="2" t="s">
        <v>215</v>
      </c>
      <c r="D268" s="3"/>
      <c r="E268" s="3">
        <v>3.94</v>
      </c>
      <c r="F268" s="3"/>
      <c r="G268" t="s">
        <v>273</v>
      </c>
    </row>
    <row r="269" spans="1:7" x14ac:dyDescent="0.2">
      <c r="A269" s="1" t="s">
        <v>217</v>
      </c>
      <c r="C269" s="2" t="s">
        <v>215</v>
      </c>
      <c r="E269" s="3">
        <v>4.1100000000000003</v>
      </c>
      <c r="F269" s="3"/>
      <c r="G269" t="s">
        <v>273</v>
      </c>
    </row>
    <row r="270" spans="1:7" x14ac:dyDescent="0.2">
      <c r="A270" s="1" t="s">
        <v>200</v>
      </c>
      <c r="C270" s="2" t="s">
        <v>215</v>
      </c>
      <c r="D270" s="3"/>
      <c r="E270" s="3">
        <v>4.0999999999999996</v>
      </c>
      <c r="F270" s="3"/>
      <c r="G270" t="s">
        <v>273</v>
      </c>
    </row>
    <row r="271" spans="1:7" x14ac:dyDescent="0.2">
      <c r="A271" s="2" t="s">
        <v>218</v>
      </c>
      <c r="C271" s="2" t="s">
        <v>215</v>
      </c>
      <c r="D271" s="3"/>
      <c r="E271" s="3">
        <v>4.0599999999999996</v>
      </c>
      <c r="F271" s="3"/>
      <c r="G271" t="s">
        <v>273</v>
      </c>
    </row>
    <row r="272" spans="1:7" x14ac:dyDescent="0.2">
      <c r="A272" s="2" t="s">
        <v>219</v>
      </c>
      <c r="C272" s="2" t="s">
        <v>215</v>
      </c>
      <c r="D272" s="3"/>
      <c r="E272" s="3">
        <v>3.98</v>
      </c>
      <c r="F272" s="3">
        <f>SUM(E264:E272)</f>
        <v>36.019999999999996</v>
      </c>
      <c r="G272" t="s">
        <v>273</v>
      </c>
    </row>
    <row r="273" spans="1:7" x14ac:dyDescent="0.2">
      <c r="A273" s="1" t="s">
        <v>3</v>
      </c>
      <c r="C273" s="2" t="s">
        <v>220</v>
      </c>
      <c r="D273" s="3"/>
      <c r="E273" s="3">
        <v>100</v>
      </c>
      <c r="F273" s="4">
        <v>100</v>
      </c>
    </row>
    <row r="274" spans="1:7" x14ac:dyDescent="0.2">
      <c r="A274" s="1" t="s">
        <v>72</v>
      </c>
      <c r="C274" s="2" t="s">
        <v>221</v>
      </c>
      <c r="D274" s="3"/>
      <c r="E274" s="3">
        <v>10.99</v>
      </c>
      <c r="F274" s="3"/>
      <c r="G274" t="s">
        <v>274</v>
      </c>
    </row>
    <row r="275" spans="1:7" x14ac:dyDescent="0.2">
      <c r="A275" s="1" t="s">
        <v>59</v>
      </c>
      <c r="C275" s="2" t="s">
        <v>221</v>
      </c>
      <c r="D275" s="3"/>
      <c r="E275" s="3">
        <v>10.99</v>
      </c>
      <c r="F275" s="3"/>
      <c r="G275" t="s">
        <v>274</v>
      </c>
    </row>
    <row r="276" spans="1:7" x14ac:dyDescent="0.2">
      <c r="A276" s="1" t="s">
        <v>216</v>
      </c>
      <c r="C276" s="2" t="s">
        <v>221</v>
      </c>
      <c r="D276" s="3"/>
      <c r="E276" s="3">
        <v>10.99</v>
      </c>
      <c r="F276" s="3"/>
      <c r="G276" t="s">
        <v>274</v>
      </c>
    </row>
    <row r="277" spans="1:7" x14ac:dyDescent="0.2">
      <c r="A277" s="1" t="s">
        <v>34</v>
      </c>
      <c r="C277" s="2" t="s">
        <v>221</v>
      </c>
      <c r="D277" s="3"/>
      <c r="E277" s="3">
        <v>10.99</v>
      </c>
      <c r="F277" s="3"/>
      <c r="G277" t="s">
        <v>274</v>
      </c>
    </row>
    <row r="278" spans="1:7" x14ac:dyDescent="0.2">
      <c r="A278" s="1" t="s">
        <v>75</v>
      </c>
      <c r="C278" s="2" t="s">
        <v>221</v>
      </c>
      <c r="D278" s="3"/>
      <c r="E278" s="3">
        <v>10.99</v>
      </c>
      <c r="F278" s="3"/>
      <c r="G278" t="s">
        <v>274</v>
      </c>
    </row>
    <row r="279" spans="1:7" x14ac:dyDescent="0.2">
      <c r="A279" s="1" t="s">
        <v>76</v>
      </c>
      <c r="C279" s="5" t="s">
        <v>221</v>
      </c>
      <c r="D279" s="3"/>
      <c r="E279" s="3">
        <v>10.99</v>
      </c>
      <c r="F279" s="3"/>
      <c r="G279" t="s">
        <v>274</v>
      </c>
    </row>
    <row r="280" spans="1:7" x14ac:dyDescent="0.2">
      <c r="A280" s="1" t="s">
        <v>222</v>
      </c>
      <c r="C280" s="2" t="s">
        <v>221</v>
      </c>
      <c r="D280" s="3"/>
      <c r="E280" s="3">
        <v>10.99</v>
      </c>
      <c r="F280" s="3"/>
      <c r="G280" t="s">
        <v>274</v>
      </c>
    </row>
    <row r="281" spans="1:7" x14ac:dyDescent="0.2">
      <c r="A281" s="1" t="s">
        <v>223</v>
      </c>
      <c r="C281" s="2" t="s">
        <v>221</v>
      </c>
      <c r="D281" s="3"/>
      <c r="E281" s="3">
        <v>10.99</v>
      </c>
      <c r="F281" s="3"/>
      <c r="G281" t="s">
        <v>274</v>
      </c>
    </row>
    <row r="282" spans="1:7" x14ac:dyDescent="0.2">
      <c r="A282" s="1" t="s">
        <v>224</v>
      </c>
      <c r="C282" s="2" t="s">
        <v>221</v>
      </c>
      <c r="D282" s="3"/>
      <c r="E282" s="3">
        <v>11.99</v>
      </c>
      <c r="F282" s="3"/>
      <c r="G282" t="s">
        <v>274</v>
      </c>
    </row>
    <row r="283" spans="1:7" x14ac:dyDescent="0.2">
      <c r="A283" s="1" t="s">
        <v>1</v>
      </c>
      <c r="C283" s="2" t="s">
        <v>221</v>
      </c>
      <c r="E283" s="3">
        <v>10.99</v>
      </c>
      <c r="F283" s="3"/>
      <c r="G283" t="s">
        <v>274</v>
      </c>
    </row>
    <row r="284" spans="1:7" x14ac:dyDescent="0.2">
      <c r="A284" s="1" t="s">
        <v>1</v>
      </c>
      <c r="C284" s="2" t="s">
        <v>221</v>
      </c>
      <c r="E284" s="3">
        <v>11.99</v>
      </c>
      <c r="F284" s="3"/>
      <c r="G284" t="s">
        <v>274</v>
      </c>
    </row>
    <row r="285" spans="1:7" x14ac:dyDescent="0.2">
      <c r="A285" s="1" t="s">
        <v>2</v>
      </c>
      <c r="C285" s="2" t="s">
        <v>221</v>
      </c>
      <c r="D285" s="3"/>
      <c r="E285" s="3">
        <v>11.99</v>
      </c>
      <c r="F285" s="3"/>
      <c r="G285" t="s">
        <v>274</v>
      </c>
    </row>
    <row r="286" spans="1:7" x14ac:dyDescent="0.2">
      <c r="A286" s="1" t="s">
        <v>13</v>
      </c>
      <c r="C286" s="2" t="s">
        <v>221</v>
      </c>
      <c r="D286" s="3"/>
      <c r="E286" s="3">
        <v>11.99</v>
      </c>
      <c r="F286" s="3"/>
      <c r="G286" t="s">
        <v>274</v>
      </c>
    </row>
    <row r="287" spans="1:7" x14ac:dyDescent="0.2">
      <c r="A287" s="1" t="s">
        <v>4</v>
      </c>
      <c r="C287" s="2" t="s">
        <v>221</v>
      </c>
      <c r="D287" s="3"/>
      <c r="E287" s="3">
        <v>11.99</v>
      </c>
      <c r="F287" s="3"/>
      <c r="G287" t="s">
        <v>274</v>
      </c>
    </row>
    <row r="288" spans="1:7" x14ac:dyDescent="0.2">
      <c r="A288" s="2" t="s">
        <v>55</v>
      </c>
      <c r="C288" s="2" t="s">
        <v>221</v>
      </c>
      <c r="D288" s="3"/>
      <c r="E288" s="3">
        <v>11.99</v>
      </c>
      <c r="F288" s="3">
        <f>SUM(E274:E288)</f>
        <v>170.85</v>
      </c>
      <c r="G288" t="s">
        <v>274</v>
      </c>
    </row>
    <row r="289" spans="1:8" x14ac:dyDescent="0.2">
      <c r="A289" s="1" t="s">
        <v>224</v>
      </c>
      <c r="C289" s="2" t="s">
        <v>225</v>
      </c>
      <c r="D289" s="3"/>
      <c r="E289" s="3">
        <v>11.11</v>
      </c>
      <c r="F289" s="4">
        <v>11.11</v>
      </c>
      <c r="G289" t="s">
        <v>274</v>
      </c>
    </row>
    <row r="290" spans="1:8" x14ac:dyDescent="0.2">
      <c r="A290" s="1" t="s">
        <v>61</v>
      </c>
      <c r="C290" s="2" t="s">
        <v>226</v>
      </c>
      <c r="E290" s="3">
        <v>22.99</v>
      </c>
      <c r="F290" s="4">
        <v>22.99</v>
      </c>
      <c r="G290" t="s">
        <v>274</v>
      </c>
    </row>
    <row r="291" spans="1:8" x14ac:dyDescent="0.2">
      <c r="A291" s="2" t="s">
        <v>138</v>
      </c>
      <c r="C291" s="2" t="s">
        <v>227</v>
      </c>
      <c r="D291" s="3"/>
      <c r="E291" s="3">
        <v>1410</v>
      </c>
      <c r="F291" s="4">
        <v>1410</v>
      </c>
      <c r="G291" t="s">
        <v>282</v>
      </c>
    </row>
    <row r="292" spans="1:8" x14ac:dyDescent="0.2">
      <c r="A292" s="1" t="s">
        <v>228</v>
      </c>
      <c r="C292" s="2" t="s">
        <v>229</v>
      </c>
      <c r="D292" s="3"/>
      <c r="E292" s="3">
        <v>120</v>
      </c>
      <c r="F292" s="4">
        <v>120</v>
      </c>
      <c r="G292" t="s">
        <v>282</v>
      </c>
    </row>
    <row r="293" spans="1:8" x14ac:dyDescent="0.2">
      <c r="A293" s="2" t="s">
        <v>230</v>
      </c>
      <c r="C293" s="2" t="s">
        <v>231</v>
      </c>
      <c r="D293" s="3"/>
      <c r="E293" s="3">
        <v>3.99</v>
      </c>
      <c r="F293" s="3"/>
      <c r="G293" t="s">
        <v>282</v>
      </c>
    </row>
    <row r="294" spans="1:8" x14ac:dyDescent="0.2">
      <c r="A294" s="1" t="s">
        <v>35</v>
      </c>
      <c r="C294" s="2" t="s">
        <v>232</v>
      </c>
      <c r="D294" s="3"/>
      <c r="E294" s="3">
        <v>13.99</v>
      </c>
      <c r="F294" s="3"/>
      <c r="G294" t="s">
        <v>282</v>
      </c>
    </row>
    <row r="295" spans="1:8" x14ac:dyDescent="0.2">
      <c r="A295" s="1" t="s">
        <v>233</v>
      </c>
      <c r="C295" s="5" t="s">
        <v>232</v>
      </c>
      <c r="D295" s="3"/>
      <c r="E295" s="3">
        <v>13.99</v>
      </c>
      <c r="F295" s="3"/>
      <c r="G295" t="s">
        <v>282</v>
      </c>
    </row>
    <row r="296" spans="1:8" x14ac:dyDescent="0.2">
      <c r="A296" s="1" t="s">
        <v>184</v>
      </c>
      <c r="C296" s="2" t="s">
        <v>232</v>
      </c>
      <c r="D296" s="3"/>
      <c r="E296" s="3">
        <v>13.99</v>
      </c>
      <c r="F296" s="3"/>
      <c r="G296" t="s">
        <v>282</v>
      </c>
    </row>
    <row r="297" spans="1:8" x14ac:dyDescent="0.2">
      <c r="A297" s="1" t="s">
        <v>234</v>
      </c>
      <c r="C297" s="2" t="s">
        <v>232</v>
      </c>
      <c r="D297" s="3"/>
      <c r="E297" s="3">
        <v>13.99</v>
      </c>
      <c r="F297" s="3"/>
      <c r="G297" t="s">
        <v>282</v>
      </c>
    </row>
    <row r="298" spans="1:8" x14ac:dyDescent="0.2">
      <c r="A298" s="1" t="s">
        <v>1</v>
      </c>
      <c r="C298" s="2" t="s">
        <v>232</v>
      </c>
      <c r="E298" s="3">
        <v>13.99</v>
      </c>
      <c r="F298" s="3"/>
      <c r="G298" t="s">
        <v>282</v>
      </c>
    </row>
    <row r="299" spans="1:8" x14ac:dyDescent="0.2">
      <c r="A299" s="1" t="s">
        <v>142</v>
      </c>
      <c r="C299" s="2" t="s">
        <v>232</v>
      </c>
      <c r="E299" s="3">
        <v>13.99</v>
      </c>
      <c r="F299" s="3">
        <f>SUM(E293:E299)</f>
        <v>87.929999999999993</v>
      </c>
      <c r="G299" t="s">
        <v>282</v>
      </c>
    </row>
    <row r="300" spans="1:8" x14ac:dyDescent="0.2">
      <c r="A300" s="1" t="s">
        <v>235</v>
      </c>
      <c r="C300" s="2" t="s">
        <v>236</v>
      </c>
      <c r="D300" s="3"/>
      <c r="E300" s="3">
        <v>75</v>
      </c>
      <c r="F300" s="4">
        <v>75</v>
      </c>
      <c r="G300" t="s">
        <v>283</v>
      </c>
    </row>
    <row r="301" spans="1:8" x14ac:dyDescent="0.2">
      <c r="E301" s="3"/>
      <c r="F301" s="3"/>
    </row>
    <row r="302" spans="1:8" x14ac:dyDescent="0.2">
      <c r="E302" s="3" t="e">
        <f t="shared" ref="E302" si="0">SUM(#REF!)</f>
        <v>#REF!</v>
      </c>
      <c r="F302" s="3" t="e">
        <f t="shared" ref="F302" si="1">SUM(#REF!)</f>
        <v>#REF!</v>
      </c>
      <c r="H302" s="8" t="e">
        <f>E302-F302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BETTY PILCHARD</dc:creator>
  <cp:keywords/>
  <dc:description/>
  <cp:lastModifiedBy>G Putnam Music</cp:lastModifiedBy>
  <cp:revision/>
  <dcterms:created xsi:type="dcterms:W3CDTF">2025-02-21T22:16:38Z</dcterms:created>
  <dcterms:modified xsi:type="dcterms:W3CDTF">2025-02-23T19:07:01Z</dcterms:modified>
  <cp:category/>
  <cp:contentStatus/>
</cp:coreProperties>
</file>